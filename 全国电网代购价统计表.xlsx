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首页+选择功能" sheetId="2" r:id="rId5"/>
    <sheet name="总表-2026" sheetId="3" r:id="rId6"/>
    <sheet name="分表1-2026电网代购价" sheetId="4" r:id="rId7"/>
    <sheet name="分表2-2026上网环节线损" sheetId="5" r:id="rId8"/>
    <sheet name="分表3-2026系统运行费" sheetId="6" r:id="rId9"/>
    <sheet name="分表4-电度输配电价" sheetId="7" r:id="rId10"/>
    <sheet name="分表5-政府性基金及附加" sheetId="8" r:id="rId11"/>
    <sheet name="分表6-容(需)量电价" sheetId="9" r:id="rId12"/>
    <sheet name="分表7-2026交易价格" sheetId="10" r:id="rId13"/>
    <sheet name="总表-2025" sheetId="11" r:id="rId14"/>
    <sheet name="分表8-2025三类细分价" sheetId="12" r:id="rId15"/>
    <sheet name="分表9-2025交易价格" sheetId="13" r:id="rId1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8" i="2" a="true"/>
  <c r="F103" i="2" a="true"/>
  <c r="L103" i="2" a="true"/>
  <c r="H104" i="2" a="true"/>
  <c r="M42" i="2" a="true"/>
  <c r="F13" i="2" a="true"/>
  <c r="T106" i="2" a="true"/>
  <c r="G106" i="2" a="true"/>
  <c r="O106" i="2" a="true"/>
  <c r="H12" i="2" a="true"/>
  <c r="J36" i="2" a="true"/>
  <c r="R102" i="2" a="true"/>
  <c r="J106" i="2" a="true"/>
  <c r="M40" i="2" a="true"/>
  <c r="X102" i="2" a="true"/>
  <c r="F11" i="2" a="true"/>
  <c r="E7" i="2" a="true"/>
  <c r="Z103" i="2" a="true"/>
  <c r="F10" i="2" a="true"/>
  <c r="J11" i="2" a="true"/>
  <c r="C104" i="2" a="true"/>
  <c r="K38" i="2" a="true"/>
  <c r="U103" i="2" a="true"/>
  <c r="M35" i="2" a="true"/>
  <c r="L39" i="2" a="true"/>
  <c r="X104" i="2" a="true"/>
  <c r="H7" i="2" a="true"/>
  <c r="I7" i="2" a="true"/>
  <c r="O103" i="2" a="true"/>
  <c r="P103" i="2" a="true"/>
  <c r="E8" i="2" a="true"/>
  <c r="O42" i="2" a="true"/>
  <c r="O39" i="2" a="true"/>
  <c r="J7" i="2" a="true"/>
  <c r="N7" i="2" a="true"/>
  <c r="L38" i="2" a="true"/>
  <c r="Q103" i="2" a="true"/>
  <c r="D105" i="2" a="true"/>
  <c r="J104" i="2" a="true"/>
  <c r="N14" i="2" a="true"/>
  <c r="I37" i="2" a="true"/>
  <c r="L12" i="2" a="true"/>
  <c r="W105" i="2" a="true"/>
  <c r="M104" i="2" a="true"/>
  <c r="V104" i="2" a="true"/>
  <c r="Z104" i="2" a="true"/>
  <c r="K7" i="2" a="true"/>
  <c r="L13" i="2" a="true"/>
  <c r="L105" i="2" a="true"/>
  <c r="W104" i="2" a="true"/>
  <c r="H14" i="2" a="true"/>
  <c r="L14" i="2" a="true"/>
  <c r="F41" i="2" a="true"/>
  <c r="K11" i="2" a="true"/>
  <c r="G39" i="2" a="true"/>
  <c r="D10" i="2" a="true"/>
  <c r="D13" i="2" a="true"/>
  <c r="F37" i="2" a="true"/>
  <c r="G37" i="2" a="true"/>
  <c r="L8" i="2" a="true"/>
  <c r="Y103" i="2" a="true"/>
  <c r="Q106" i="2" a="true"/>
  <c r="K13" i="2" a="true"/>
  <c r="H37" i="2" a="true"/>
  <c r="G41" i="2" a="true"/>
  <c r="W102" i="2" a="true"/>
  <c r="I35" i="2" a="true"/>
  <c r="D38" i="2" a="true"/>
  <c r="G42" i="2" a="true"/>
  <c r="Z102" i="2" a="true"/>
  <c r="O35" i="2" a="true"/>
  <c r="S104" i="2" a="true"/>
  <c r="N41" i="2" a="true"/>
  <c r="F102" i="2" a="true"/>
  <c r="G12" i="2" a="true"/>
  <c r="H105" i="2" a="true"/>
  <c r="I8" i="2" a="true"/>
  <c r="C14" i="2" a="true"/>
  <c r="F42" i="2" a="true"/>
  <c r="H13" i="2" a="true"/>
  <c r="K12" i="2" a="true"/>
  <c r="H35" i="2" a="true"/>
  <c r="O7" i="2" a="true"/>
  <c r="E36" i="2" a="true"/>
  <c r="G36" i="2" a="true"/>
  <c r="J38" i="2" a="true"/>
  <c r="O10" i="2" a="true"/>
  <c r="E9" i="2" a="true"/>
  <c r="J41" i="2" a="true"/>
  <c r="O36" i="2" a="true"/>
  <c r="G104" i="2" a="true"/>
  <c r="C7" i="2" a="true"/>
  <c r="G7" i="2" a="true"/>
  <c r="G103" i="2" a="true"/>
  <c r="Q102" i="2" a="true"/>
  <c r="P106" i="2" a="true"/>
  <c r="K106" i="2" a="true"/>
  <c r="E39" i="2" a="true"/>
  <c r="N39" i="2" a="true"/>
  <c r="G14" i="2" a="true"/>
  <c r="L9" i="2" a="true"/>
  <c r="J102" i="2" a="true"/>
  <c r="F12" i="2" a="true"/>
  <c r="D36" i="2" a="true"/>
  <c r="F8" i="2" a="true"/>
  <c r="Q104" i="2" a="true"/>
  <c r="E14" i="2" a="true"/>
  <c r="N42" i="2" a="true"/>
  <c r="J37" i="2" a="true"/>
  <c r="D102" i="2" a="true"/>
  <c r="L106" i="2" a="true"/>
  <c r="T105" i="2" a="true"/>
  <c r="I104" i="2" a="true"/>
  <c r="R104" i="2" a="true"/>
  <c r="K14" i="2" a="true"/>
  <c r="F40" i="2" a="true"/>
  <c r="C40" i="2" a="true"/>
  <c r="D7" i="2" a="true"/>
  <c r="R103" i="2" a="true"/>
  <c r="H106" i="2" a="true"/>
  <c r="I12" i="2" a="true"/>
  <c r="O105" i="2" a="true"/>
  <c r="O8" i="2" a="true"/>
  <c r="F104" i="2" a="true"/>
  <c r="I14" i="2" a="true"/>
  <c r="K41" i="2" a="true"/>
  <c r="N106" i="2" a="true"/>
  <c r="B5" i="2" a="true"/>
  <c r="R105" i="2" a="true"/>
  <c r="I39" i="2" a="true"/>
  <c r="N104" i="2" a="true"/>
  <c r="F38" i="2" a="true"/>
  <c r="J42" i="2" a="true"/>
  <c r="E41" i="2" a="true"/>
  <c r="V106" i="2" a="true"/>
  <c r="S105" i="2" a="true"/>
  <c r="E35" i="2" a="true"/>
  <c r="C42" i="2" a="true"/>
  <c r="J10" i="2" a="true"/>
  <c r="D37" i="2" a="true"/>
  <c r="C106" i="2" a="true"/>
  <c r="O12" i="2" a="true"/>
  <c r="M36" i="2" a="true"/>
  <c r="N36" i="2" a="true"/>
  <c r="K35" i="2" a="true"/>
  <c r="Y104" i="2" a="true"/>
  <c r="L7" i="2" a="true"/>
  <c r="N103" i="2" a="true"/>
  <c r="D106" i="2" a="true"/>
  <c r="E105" i="2" a="true"/>
  <c r="I105" i="2" a="true"/>
  <c r="J8" i="2" a="true"/>
  <c r="L11" i="2" a="true"/>
  <c r="M39" i="2" a="true"/>
  <c r="D39" i="2" a="true"/>
  <c r="O41" i="2" a="true"/>
  <c r="V102" i="2" a="true"/>
  <c r="Y102" i="2" a="true"/>
  <c r="O104" i="2" a="true"/>
  <c r="N10" i="2" a="true"/>
  <c r="E37" i="2" a="true"/>
  <c r="N40" i="2" a="true"/>
  <c r="M105" i="2" a="true"/>
  <c r="I10" i="2" a="true"/>
  <c r="F35" i="2" a="true"/>
  <c r="D35" i="2" a="true"/>
  <c r="F39" i="2" a="true"/>
  <c r="T103" i="2" a="true"/>
  <c r="E10" i="2" a="true"/>
  <c r="Q105" i="2" a="true"/>
  <c r="I42" i="2" a="true"/>
  <c r="S103" i="2" a="true"/>
  <c r="C13" i="2" a="true"/>
  <c r="G13" i="2" a="true"/>
  <c r="M41" i="2" a="true"/>
  <c r="K102" i="2" a="true"/>
  <c r="J12" i="2" a="true"/>
  <c r="I36" i="2" a="true"/>
  <c r="I11" i="2" a="true"/>
  <c r="E42" i="2" a="true"/>
  <c r="L42" i="2" a="true"/>
  <c r="K103" i="2" a="true"/>
  <c r="M13" i="2" a="true"/>
  <c r="N12" i="2" a="true"/>
  <c r="C8" i="2" a="true"/>
  <c r="L41" i="2" a="true"/>
  <c r="L102" i="2" a="true"/>
  <c r="G38" i="2" a="true"/>
  <c r="M11" i="2" a="true"/>
  <c r="H39" i="2" a="true"/>
  <c r="K104" i="2" a="true"/>
  <c r="H9" i="2" a="true"/>
  <c r="M37" i="2" a="true"/>
  <c r="E104" i="2" a="true"/>
  <c r="C41" i="2" a="true"/>
  <c r="M8" i="2" a="true"/>
  <c r="D14" i="2" a="true"/>
  <c r="M10" i="2" a="true"/>
  <c r="J13" i="2" a="true"/>
  <c r="G40" i="2" a="true"/>
  <c r="U105" i="2" a="true"/>
  <c r="J103" i="2" a="true"/>
  <c r="F36" i="2" a="true"/>
  <c r="M102" i="2" a="true"/>
  <c r="D42" i="2" a="true"/>
  <c r="H11" i="2" a="true"/>
  <c r="M14" i="2" a="true"/>
  <c r="O38" i="2" a="true"/>
  <c r="C9" i="2" a="true"/>
  <c r="K37" i="2" a="true"/>
  <c r="I41" i="2" a="true"/>
  <c r="F14" i="2" a="true"/>
  <c r="I9" i="2" a="true"/>
  <c r="X106" i="2" a="true"/>
  <c r="O40" i="2" a="true"/>
  <c r="I40" i="2" a="true"/>
  <c r="D8" i="2" a="true"/>
  <c r="F7" i="2" a="true"/>
  <c r="M38" i="2" a="true"/>
  <c r="C103" i="2" a="true"/>
  <c r="P102" i="2" a="true"/>
  <c r="T102" i="2" a="true"/>
  <c r="U106" i="2" a="true"/>
  <c r="Z106" i="2" a="true"/>
  <c r="N11" i="2" a="true"/>
  <c r="D11" i="2" a="true"/>
  <c r="L104" i="2" a="true"/>
  <c r="D12" i="2" a="true"/>
  <c r="H8" i="2" a="true"/>
  <c r="J35" i="2" a="true"/>
  <c r="M7" i="2" a="true"/>
  <c r="K9" i="2" a="true"/>
  <c r="O102" i="2" a="true"/>
  <c r="I102" i="2" a="true"/>
  <c r="H36" i="2" a="true"/>
  <c r="C105" i="2" a="true"/>
  <c r="C39" i="2" a="true"/>
  <c r="U104" i="2" a="true"/>
  <c r="I103" i="2" a="true"/>
  <c r="H10" i="2" a="true"/>
  <c r="C10" i="2" a="true"/>
  <c r="D41" i="2" a="true"/>
  <c r="L35" i="2" a="true"/>
  <c r="H42" i="2" a="true"/>
  <c r="E103" i="2" a="true"/>
  <c r="G10" i="2" a="true"/>
  <c r="E102" i="2" a="true"/>
  <c r="Y106" i="2" a="true"/>
  <c r="R106" i="2" a="true"/>
  <c r="C36" i="2" a="true"/>
  <c r="G9" i="2" a="true"/>
  <c r="D9" i="2" a="true"/>
  <c r="I13" i="2" a="true"/>
  <c r="H41" i="2" a="true"/>
  <c r="K40" i="2" a="true"/>
  <c r="W103" i="2" a="true"/>
  <c r="N9" i="2" a="true"/>
  <c r="N13" i="2" a="true"/>
  <c r="C37" i="2" a="true"/>
  <c r="L37" i="2" a="true"/>
  <c r="W106" i="2" a="true"/>
  <c r="J14" i="2" a="true"/>
  <c r="H103" i="2" a="true"/>
  <c r="L10" i="2" a="true"/>
  <c r="E106" i="2" a="true"/>
  <c r="K36" i="2" a="true"/>
  <c r="G35" i="2" a="true"/>
  <c r="I106" i="2" a="true"/>
  <c r="C38" i="2" a="true"/>
  <c r="E38" i="2" a="true"/>
  <c r="N37" i="2" a="true"/>
  <c r="H102" i="2" a="true"/>
  <c r="O14" i="2" a="true"/>
  <c r="N38" i="2" a="true"/>
  <c r="X103" i="2" a="true"/>
  <c r="F106" i="2" a="true"/>
  <c r="N102" i="2" a="true"/>
  <c r="M12" i="2" a="true"/>
  <c r="F105" i="2" a="true"/>
  <c r="G8" i="2" a="true"/>
  <c r="K42" i="2" a="true"/>
  <c r="T104" i="2" a="true"/>
  <c r="D104" i="2" a="true"/>
  <c r="D103" i="2" a="true"/>
  <c r="F9" i="2" a="true"/>
  <c r="O13" i="2" a="true"/>
  <c r="Z105" i="2" a="true"/>
  <c r="N105" i="2" a="true"/>
  <c r="G11" i="2" a="true"/>
  <c r="C102" i="2" a="true"/>
  <c r="V105" i="2" a="true"/>
  <c r="J105" i="2" a="true"/>
  <c r="K105" i="2" a="true"/>
  <c r="P105" i="2" a="true"/>
  <c r="N8" i="2" a="true"/>
  <c r="V103" i="2" a="true"/>
  <c r="K39" i="2" a="true"/>
  <c r="K10" i="2" a="true"/>
  <c r="M9" i="2" a="true"/>
  <c r="G102" i="2" a="true"/>
  <c r="E12" i="2" a="true"/>
  <c r="Y105" i="2" a="true"/>
  <c r="J9" i="2" a="true"/>
  <c r="C12" i="2" a="true"/>
  <c r="E11" i="2" a="true"/>
  <c r="C35" i="2" a="true"/>
  <c r="P104" i="2" a="true"/>
  <c r="I38" i="2" a="true"/>
  <c r="O37" i="2" a="true"/>
  <c r="H40" i="2" a="true"/>
  <c r="E40" i="2" a="true"/>
  <c r="N35" i="2" a="true"/>
  <c r="M103" i="2" a="true"/>
  <c r="S102" i="2" a="true"/>
  <c r="M106" i="2" a="true"/>
  <c r="S106" i="2" a="true"/>
  <c r="D40" i="2" a="true"/>
  <c r="J39" i="2" a="true"/>
  <c r="E13" i="2" a="true"/>
  <c r="U102" i="2" a="true"/>
  <c r="K8" i="2" a="true"/>
  <c r="O11" i="2" a="true"/>
  <c r="C11" i="2" a="true"/>
  <c r="O9" i="2" a="true"/>
  <c r="L36" i="2" a="true"/>
  <c r="X105" i="2" a="true"/>
  <c r="L40" i="2" a="true"/>
  <c r="J40" i="2" a="true"/>
  <c r="G105" i="2" a="true"/>
  <c r="G134" i="3" a="true"/>
  <c r="F54" i="3" a="true"/>
  <c r="H21" i="3" a="true"/>
  <c r="G6" i="3" a="true"/>
  <c r="H206" i="3" a="true"/>
  <c r="E222" i="3" a="true"/>
  <c r="G29" i="3" a="true"/>
  <c r="G77" i="3" a="true"/>
  <c r="G45" i="3" a="true"/>
  <c r="G142" i="3" a="true"/>
  <c r="F77" i="3" a="true"/>
  <c r="H30" i="3" a="true"/>
  <c r="F30" i="3" a="true"/>
  <c r="F86" i="3" a="true"/>
  <c r="H237" i="3" a="true"/>
  <c r="G110" i="3" a="true"/>
  <c r="G126" i="3" a="true"/>
  <c r="D78" i="3" a="true"/>
  <c r="E166" i="3" a="true"/>
  <c r="F29" i="3" a="true"/>
  <c r="F126" i="3" a="true"/>
  <c r="E94" i="3" a="true"/>
  <c r="H182" i="3" a="true"/>
  <c r="D246" i="3" a="true"/>
  <c r="G254" i="3" a="true"/>
  <c r="E181" i="3" a="true"/>
  <c r="G213" i="3" a="true"/>
  <c r="H101" i="3" a="true"/>
  <c r="F198" i="3" a="true"/>
  <c r="E141" i="3" a="true"/>
  <c r="F61" i="3" a="true"/>
  <c r="E126" i="3" a="true"/>
  <c r="E253" i="3" a="true"/>
  <c r="E86" i="3" a="true"/>
  <c r="G109" i="3" a="true"/>
  <c r="H37" i="3" a="true"/>
  <c r="H141" i="3" a="true"/>
  <c r="D45" i="3" a="true"/>
  <c r="F205" i="3" a="true"/>
  <c r="D101" i="3" a="true"/>
  <c r="E5" i="3" a="true"/>
  <c r="F69" i="3" a="true"/>
  <c r="G85" i="3" a="true"/>
  <c r="D142" i="3" a="true"/>
  <c r="E254" i="3" a="true"/>
  <c r="D214" i="3" a="true"/>
  <c r="D173" i="3" a="true"/>
  <c r="H13" i="3" a="true"/>
  <c r="D245" i="3" a="true"/>
  <c r="D102" i="3" a="true"/>
  <c r="D118" i="3" a="true"/>
  <c r="G222" i="3" a="true"/>
  <c r="D150" i="3" a="true"/>
  <c r="G230" i="3" a="true"/>
  <c r="F189" i="3" a="true"/>
  <c r="E221" i="3" a="true"/>
  <c r="G165" i="3" a="true"/>
  <c r="D133" i="3" a="true"/>
  <c r="D182" i="3" a="true"/>
  <c r="H198" i="3" a="true"/>
  <c r="E62" i="3" a="true"/>
  <c r="E14" i="3" a="true"/>
  <c r="G78" i="3" a="true"/>
  <c r="F102" i="3" a="true"/>
  <c r="E205" i="3" a="true"/>
  <c r="E198" i="3" a="true"/>
  <c r="E125" i="3" a="true"/>
  <c r="D222" i="3" a="true"/>
  <c r="F181" i="3" a="true"/>
  <c r="F166" i="3" a="true"/>
  <c r="H149" i="3" a="true"/>
  <c r="E54" i="3" a="true"/>
  <c r="E117" i="3" a="true"/>
  <c r="E174" i="3" a="true"/>
  <c r="D157" i="3" a="true"/>
  <c r="E46" i="3" a="true"/>
  <c r="G229" i="3" a="true"/>
  <c r="G21" i="3" a="true"/>
  <c r="E118" i="3" a="true"/>
  <c r="F174" i="3" a="true"/>
  <c r="H214" i="3" a="true"/>
  <c r="F213" i="3" a="true"/>
  <c r="D230" i="3" a="true"/>
  <c r="H197" i="3" a="true"/>
  <c r="D38" i="3" a="true"/>
  <c r="D198" i="3" a="true"/>
  <c r="F70" i="3" a="true"/>
  <c r="H254" i="3" a="true"/>
  <c r="D69" i="3" a="true"/>
  <c r="F118" i="3" a="true"/>
  <c r="E109" i="3" a="true"/>
  <c r="H125" i="3" a="true"/>
  <c r="G206" i="3" a="true"/>
  <c r="H166" i="3" a="true"/>
  <c r="D37" i="3" a="true"/>
  <c r="G197" i="3" a="true"/>
  <c r="E85" i="3" a="true"/>
  <c r="D22" i="3" a="true"/>
  <c r="F173" i="3" a="true"/>
  <c r="G93" i="3" a="true"/>
  <c r="D53" i="3" a="true"/>
  <c r="F117" i="3" a="true"/>
  <c r="D109" i="3" a="true"/>
  <c r="H93" i="3" a="true"/>
  <c r="H126" i="3" a="true"/>
  <c r="G5" i="3" a="true"/>
  <c r="E69" i="3" a="true"/>
  <c r="D70" i="3" a="true"/>
  <c r="H173" i="3" a="true"/>
  <c r="G174" i="3" a="true"/>
  <c r="E45" i="3" a="true"/>
  <c r="D126" i="3" a="true"/>
  <c r="F14" i="3" a="true"/>
  <c r="E133" i="3" a="true"/>
  <c r="F197" i="3" a="true"/>
  <c r="E102" i="3" a="true"/>
  <c r="F142" i="3" a="true"/>
  <c r="G189" i="3" a="true"/>
  <c r="D29" i="3" a="true"/>
  <c r="E78" i="3" a="true"/>
  <c r="F229" i="3" a="true"/>
  <c r="E38" i="3" a="true"/>
  <c r="D21" i="3" a="true"/>
  <c r="D85" i="3" a="true"/>
  <c r="F22" i="3" a="true"/>
  <c r="H46" i="3" a="true"/>
  <c r="D254" i="3" a="true"/>
  <c r="E21" i="3" a="true"/>
  <c r="D229" i="3" a="true"/>
  <c r="H230" i="3" a="true"/>
  <c r="G237" i="3" a="true"/>
  <c r="F237" i="3" a="true"/>
  <c r="F165" i="3" a="true"/>
  <c r="F133" i="3" a="true"/>
  <c r="E213" i="3" a="true"/>
  <c r="E134" i="3" a="true"/>
  <c r="F45" i="3" a="true"/>
  <c r="H61" i="3" a="true"/>
  <c r="F190" i="3" a="true"/>
  <c r="G253" i="3" a="true"/>
  <c r="E150" i="3" a="true"/>
  <c r="D14" i="3" a="true"/>
  <c r="D30" i="3" a="true"/>
  <c r="H78" i="3" a="true"/>
  <c r="E149" i="3" a="true"/>
  <c r="H102" i="3" a="true"/>
  <c r="D237" i="3" a="true"/>
  <c r="G182" i="3" a="true"/>
  <c r="E6" i="3" a="true"/>
  <c r="E173" i="3" a="true"/>
  <c r="D206" i="3" a="true"/>
  <c r="D149" i="3" a="true"/>
  <c r="D117" i="3" a="true"/>
  <c r="H70" i="3" a="true"/>
  <c r="G13" i="3" a="true"/>
  <c r="E197" i="3" a="true"/>
  <c r="D141" i="3" a="true"/>
  <c r="E230" i="3" a="true"/>
  <c r="H38" i="3" a="true"/>
  <c r="D61" i="3" a="true"/>
  <c r="F94" i="3" a="true"/>
  <c r="E229" i="3" a="true"/>
  <c r="F149" i="3" a="true"/>
  <c r="E190" i="3" a="true"/>
  <c r="E13" i="3" a="true"/>
  <c r="G37" i="3" a="true"/>
  <c r="F21" i="3" a="true"/>
  <c r="G70" i="3" a="true"/>
  <c r="D189" i="3" a="true"/>
  <c r="H189" i="3" a="true"/>
  <c r="F253" i="3" a="true"/>
  <c r="D197" i="3" a="true"/>
  <c r="G54" i="3" a="true"/>
  <c r="E22" i="3" a="true"/>
  <c r="H174" i="3" a="true"/>
  <c r="H45" i="3" a="true"/>
  <c r="H205" i="3" a="true"/>
  <c r="F62" i="3" a="true"/>
  <c r="F150" i="3" a="true"/>
  <c r="F182" i="3" a="true"/>
  <c r="H85" i="3" a="true"/>
  <c r="G22" i="3" a="true"/>
  <c r="D190" i="3" a="true"/>
  <c r="H109" i="3" a="true"/>
  <c r="F78" i="3" a="true"/>
  <c r="G166" i="3" a="true"/>
  <c r="D221" i="3" a="true"/>
  <c r="G158" i="3" a="true"/>
  <c r="H158" i="3" a="true"/>
  <c r="G190" i="3" a="true"/>
  <c r="E29" i="3" a="true"/>
  <c r="H133" i="3" a="true"/>
  <c r="D213" i="3" a="true"/>
  <c r="G118" i="3" a="true"/>
  <c r="G46" i="3" a="true"/>
  <c r="G125" i="3" a="true"/>
  <c r="D93" i="3" a="true"/>
  <c r="F110" i="3" a="true"/>
  <c r="G133" i="3" a="true"/>
  <c r="H53" i="3" a="true"/>
  <c r="H54" i="3" a="true"/>
  <c r="H117" i="3" a="true"/>
  <c r="D62" i="3" a="true"/>
  <c r="D110" i="3" a="true"/>
  <c r="G69" i="3" a="true"/>
  <c r="H110" i="3" a="true"/>
  <c r="H181" i="3" a="true"/>
  <c r="E182" i="3" a="true"/>
  <c r="F38" i="3" a="true"/>
  <c r="G198" i="3" a="true"/>
  <c r="H69" i="3" a="true"/>
  <c r="D6" i="3" a="true"/>
  <c r="H22" i="3" a="true"/>
  <c r="E70" i="3" a="true"/>
  <c r="G245" i="3" a="true"/>
  <c r="D134" i="3" a="true"/>
  <c r="F6" i="3" a="true"/>
  <c r="G86" i="3" a="true"/>
  <c r="F158" i="3" a="true"/>
  <c r="G238" i="3" a="true"/>
  <c r="F157" i="3" a="true"/>
  <c r="F221" i="3" a="true"/>
  <c r="F101" i="3" a="true"/>
  <c r="H118" i="3" a="true"/>
  <c r="D238" i="3" a="true"/>
  <c r="E206" i="3" a="true"/>
  <c r="E110" i="3" a="true"/>
  <c r="G181" i="3" a="true"/>
  <c r="H245" i="3" a="true"/>
  <c r="G141" i="3" a="true"/>
  <c r="F13" i="3" a="true"/>
  <c r="E93" i="3" a="true"/>
  <c r="F93" i="3" a="true"/>
  <c r="F134" i="3" a="true"/>
  <c r="D54" i="3" a="true"/>
  <c r="G102" i="3" a="true"/>
  <c r="E189" i="3" a="true"/>
  <c r="H142" i="3" a="true"/>
  <c r="E238" i="3" a="true"/>
  <c r="E37" i="3" a="true"/>
  <c r="G38" i="3" a="true"/>
  <c r="E157" i="3" a="true"/>
  <c r="D253" i="3" a="true"/>
  <c r="H94" i="3" a="true"/>
  <c r="F246" i="3" a="true"/>
  <c r="H221" i="3" a="true"/>
  <c r="E61" i="3" a="true"/>
  <c r="G61" i="3" a="true"/>
  <c r="G62" i="3" a="true"/>
  <c r="H150" i="3" a="true"/>
  <c r="F254" i="3" a="true"/>
  <c r="G30" i="3" a="true"/>
  <c r="D165" i="3" a="true"/>
  <c r="G101" i="3" a="true"/>
  <c r="D5" i="3" a="true"/>
  <c r="F141" i="3" a="true"/>
  <c r="G157" i="3" a="true"/>
  <c r="G221" i="3" a="true"/>
  <c r="H29" i="3" a="true"/>
  <c r="H229" i="3" a="true"/>
  <c r="H157" i="3" a="true"/>
  <c r="G150" i="3" a="true"/>
  <c r="E237" i="3" a="true"/>
  <c r="H190" i="3" a="true"/>
  <c r="D205" i="3" a="true"/>
  <c r="G205" i="3" a="true"/>
  <c r="D77" i="3" a="true"/>
  <c r="E214" i="3" a="true"/>
  <c r="E158" i="3" a="true"/>
  <c r="H238" i="3" a="true"/>
  <c r="D46" i="3" a="true"/>
  <c r="F206" i="3" a="true"/>
  <c r="H77" i="3" a="true"/>
  <c r="H253" i="3" a="true"/>
  <c r="H134" i="3" a="true"/>
  <c r="H6" i="3" a="true"/>
  <c r="D125" i="3" a="true"/>
  <c r="E77" i="3" a="true"/>
  <c r="E30" i="3" a="true"/>
  <c r="E53" i="3" a="true"/>
  <c r="E101" i="3" a="true"/>
  <c r="G117" i="3" a="true"/>
  <c r="F214" i="3" a="true"/>
  <c r="F46" i="3" a="true"/>
  <c r="E165" i="3" a="true"/>
  <c r="F37" i="3" a="true"/>
  <c r="F125" i="3" a="true"/>
  <c r="H222" i="3" a="true"/>
  <c r="F53" i="3" a="true"/>
  <c r="F230" i="3" a="true"/>
  <c r="F85" i="3" a="true"/>
  <c r="G246" i="3" a="true"/>
  <c r="D13" i="3" a="true"/>
  <c r="D166" i="3" a="true"/>
  <c r="F5" i="3" a="true"/>
  <c r="E246" i="3" a="true"/>
  <c r="F222" i="3" a="true"/>
  <c r="G94" i="3" a="true"/>
  <c r="D94" i="3" a="true"/>
  <c r="D181" i="3" a="true"/>
  <c r="G149" i="3" a="true"/>
  <c r="H213" i="3" a="true"/>
  <c r="G53" i="3" a="true"/>
  <c r="H246" i="3" a="true"/>
  <c r="H5" i="3" a="true"/>
  <c r="H86" i="3" a="true"/>
  <c r="G173" i="3" a="true"/>
  <c r="D158" i="3" a="true"/>
  <c r="H14" i="3" a="true"/>
  <c r="G214" i="3" a="true"/>
  <c r="D174" i="3" a="true"/>
  <c r="G14" i="3" a="true"/>
  <c r="H165" i="3" a="true"/>
  <c r="E245" i="3" a="true"/>
  <c r="F245" i="3" a="true"/>
  <c r="D86" i="3" a="true"/>
  <c r="E142" i="3" a="true"/>
  <c r="F238" i="3" a="true"/>
  <c r="H62" i="3" a="true"/>
  <c r="F109" i="3" a="true"/>
  <c r="F38" i="11" a="true"/>
  <c r="E141" i="11" a="true"/>
  <c r="F173" i="11" a="true"/>
  <c r="H221" i="11" a="true"/>
  <c r="D126" i="11" a="true"/>
  <c r="G134" i="11" a="true"/>
  <c r="G198" i="11" a="true"/>
  <c r="M70" i="11" a="true"/>
  <c r="N86" i="11" a="true"/>
  <c r="J246" i="11" a="true"/>
  <c r="H173" i="11" a="true"/>
  <c r="O237" i="11" a="true"/>
  <c r="H158" i="11" a="true"/>
  <c r="L110" i="11" a="true"/>
  <c r="G21" i="11" a="true"/>
  <c r="H157" i="11" a="true"/>
  <c r="N13" i="11" a="true"/>
  <c r="L62" i="11" a="true"/>
  <c r="L109" i="11" a="true"/>
  <c r="N14" i="11" a="true"/>
  <c r="O134" i="11" a="true"/>
  <c r="H230" i="11" a="true"/>
  <c r="K21" i="11" a="true"/>
  <c r="K6" i="11" a="true"/>
  <c r="I22" i="11" a="true"/>
  <c r="F102" i="11" a="true"/>
  <c r="G246" i="11" a="true"/>
  <c r="J190" i="11" a="true"/>
  <c r="F45" i="11" a="true"/>
  <c r="I94" i="11" a="true"/>
  <c r="J14" i="11" a="true"/>
  <c r="G117" i="11" a="true"/>
  <c r="F221" i="11" a="true"/>
  <c r="H29" i="11" a="true"/>
  <c r="M62" i="11" a="true"/>
  <c r="I229" i="11" a="true"/>
  <c r="E5" i="11" a="true"/>
  <c r="K62" i="11" a="true"/>
  <c r="O62" i="11" a="true"/>
  <c r="M110" i="11" a="true"/>
  <c r="D214" i="11" a="true"/>
  <c r="H190" i="11" a="true"/>
  <c r="G190" i="11" a="true"/>
  <c r="E125" i="11" a="true"/>
  <c r="L53" i="11" a="true"/>
  <c r="I230" i="11" a="true"/>
  <c r="G205" i="11" a="true"/>
  <c r="F61" i="11" a="true"/>
  <c r="I13" i="11" a="true"/>
  <c r="O166" i="11" a="true"/>
  <c r="L182" i="11" a="true"/>
  <c r="N53" i="11" a="true"/>
  <c r="O5" i="11" a="true"/>
  <c r="I5" i="11" a="true"/>
  <c r="H149" i="11" a="true"/>
  <c r="F54" i="11" a="true"/>
  <c r="M182" i="11" a="true"/>
  <c r="L229" i="11" a="true"/>
  <c r="H53" i="11" a="true"/>
  <c r="D85" i="11" a="true"/>
  <c r="L238" i="11" a="true"/>
  <c r="K198" i="11" a="true"/>
  <c r="J117" i="11" a="true"/>
  <c r="M205" i="11" a="true"/>
  <c r="H45" i="11" a="true"/>
  <c r="I125" i="11" a="true"/>
  <c r="M37" i="11" a="true"/>
  <c r="O6" i="11" a="true"/>
  <c r="H238" i="11" a="true"/>
  <c r="M238" i="11" a="true"/>
  <c r="D125" i="11" a="true"/>
  <c r="L14" i="11" a="true"/>
  <c r="K230" i="11" a="true"/>
  <c r="K22" i="11" a="true"/>
  <c r="O14" i="11" a="true"/>
  <c r="G133" i="11" a="true"/>
  <c r="E230" i="11" a="true"/>
  <c r="E245" i="11" a="true"/>
  <c r="H37" i="11" a="true"/>
  <c r="J6" i="11" a="true"/>
  <c r="O197" i="11" a="true"/>
  <c r="N229" i="11" a="true"/>
  <c r="G221" i="11" a="true"/>
  <c r="F174" i="11" a="true"/>
  <c r="O29" i="11" a="true"/>
  <c r="F125" i="11" a="true"/>
  <c r="K126" i="11" a="true"/>
  <c r="L198" i="11" a="true"/>
  <c r="M157" i="11" a="true"/>
  <c r="O221" i="11" a="true"/>
  <c r="E238" i="11" a="true"/>
  <c r="J62" i="11" a="true"/>
  <c r="F254" i="11" a="true"/>
  <c r="E150" i="11" a="true"/>
  <c r="F214" i="11" a="true"/>
  <c r="O245" i="11" a="true"/>
  <c r="I101" i="11" a="true"/>
  <c r="K117" i="11" a="true"/>
  <c r="K61" i="11" a="true"/>
  <c r="L245" i="11" a="true"/>
  <c r="G38" i="11" a="true"/>
  <c r="N118" i="11" a="true"/>
  <c r="H141" i="11" a="true"/>
  <c r="M174" i="11" a="true"/>
  <c r="D29" i="11" a="true"/>
  <c r="J94" i="11" a="true"/>
  <c r="O182" i="11" a="true"/>
  <c r="I197" i="11" a="true"/>
  <c r="F117" i="11" a="true"/>
  <c r="F118" i="11" a="true"/>
  <c r="E173" i="11" a="true"/>
  <c r="I190" i="11" a="true"/>
  <c r="F238" i="11" a="true"/>
  <c r="G29" i="11" a="true"/>
  <c r="I62" i="11" a="true"/>
  <c r="N126" i="11" a="true"/>
  <c r="J101" i="11" a="true"/>
  <c r="N22" i="11" a="true"/>
  <c r="J38" i="11" a="true"/>
  <c r="I157" i="11" a="true"/>
  <c r="I206" i="11" a="true"/>
  <c r="M30" i="11" a="true"/>
  <c r="E30" i="11" a="true"/>
  <c r="J110" i="11" a="true"/>
  <c r="E54" i="11" a="true"/>
  <c r="H101" i="11" a="true"/>
  <c r="G70" i="11" a="true"/>
  <c r="L158" i="11" a="true"/>
  <c r="K174" i="11" a="true"/>
  <c r="N45" i="11" a="true"/>
  <c r="O61" i="11" a="true"/>
  <c r="H222" i="11" a="true"/>
  <c r="F94" i="11" a="true"/>
  <c r="H110" i="11" a="true"/>
  <c r="N166" i="11" a="true"/>
  <c r="J150" i="11" a="true"/>
  <c r="O230" i="11" a="true"/>
  <c r="K245" i="11" a="true"/>
  <c r="L37" i="11" a="true"/>
  <c r="G102" i="11" a="true"/>
  <c r="D110" i="11" a="true"/>
  <c r="D78" i="11" a="true"/>
  <c r="D229" i="11" a="true"/>
  <c r="L134" i="11" a="true"/>
  <c r="M21" i="11" a="true"/>
  <c r="E21" i="11" a="true"/>
  <c r="H69" i="11" a="true"/>
  <c r="G86" i="11" a="true"/>
  <c r="G142" i="11" a="true"/>
  <c r="G150" i="11" a="true"/>
  <c r="G230" i="11" a="true"/>
  <c r="E86" i="11" a="true"/>
  <c r="N190" i="11" a="true"/>
  <c r="D142" i="11" a="true"/>
  <c r="L126" i="11" a="true"/>
  <c r="M254" i="11" a="true"/>
  <c r="N141" i="11" a="true"/>
  <c r="L237" i="11" a="true"/>
  <c r="M253" i="11" a="true"/>
  <c r="E61" i="11" a="true"/>
  <c r="D62" i="11" a="true"/>
  <c r="O181" i="11" a="true"/>
  <c r="D13" i="11" a="true"/>
  <c r="K181" i="11" a="true"/>
  <c r="M173" i="11" a="true"/>
  <c r="I205" i="11" a="true"/>
  <c r="O142" i="11" a="true"/>
  <c r="O126" i="11" a="true"/>
  <c r="M197" i="11" a="true"/>
  <c r="I213" i="11" a="true"/>
  <c r="M54" i="11" a="true"/>
  <c r="J237" i="11" a="true"/>
  <c r="M93" i="11" a="true"/>
  <c r="I110" i="11" a="true"/>
  <c r="K254" i="11" a="true"/>
  <c r="I134" i="11" a="true"/>
  <c r="K134" i="11" a="true"/>
  <c r="L5" i="11" a="true"/>
  <c r="F157" i="11" a="true"/>
  <c r="N102" i="11" a="true"/>
  <c r="F70" i="11" a="true"/>
  <c r="K110" i="11" a="true"/>
  <c r="D149" i="11" a="true"/>
  <c r="G53" i="11" a="true"/>
  <c r="O198" i="11" a="true"/>
  <c r="D245" i="11" a="true"/>
  <c r="O101" i="11" a="true"/>
  <c r="O102" i="11" a="true"/>
  <c r="M125" i="11" a="true"/>
  <c r="J109" i="11" a="true"/>
  <c r="N109" i="11" a="true"/>
  <c r="E182" i="11" a="true"/>
  <c r="O69" i="11" a="true"/>
  <c r="K77" i="11" a="true"/>
  <c r="G213" i="11" a="true"/>
  <c r="M134" i="11" a="true"/>
  <c r="F21" i="11" a="true"/>
  <c r="N205" i="11" a="true"/>
  <c r="O13" i="11" a="true"/>
  <c r="H125" i="11" a="true"/>
  <c r="L133" i="11" a="true"/>
  <c r="D197" i="11" a="true"/>
  <c r="I245" i="11" a="true"/>
  <c r="L54" i="11" a="true"/>
  <c r="L38" i="11" a="true"/>
  <c r="G173" i="11" a="true"/>
  <c r="L190" i="11" a="true"/>
  <c r="G158" i="11" a="true"/>
  <c r="N62" i="11" a="true"/>
  <c r="M78" i="11" a="true"/>
  <c r="G166" i="11" a="true"/>
  <c r="J69" i="11" a="true"/>
  <c r="I6" i="11" a="true"/>
  <c r="H246" i="11" a="true"/>
  <c r="E14" i="11" a="true"/>
  <c r="J166" i="11" a="true"/>
  <c r="H198" i="11" a="true"/>
  <c r="L230" i="11" a="true"/>
  <c r="G5" i="11" a="true"/>
  <c r="J158" i="11" a="true"/>
  <c r="L197" i="11" a="true"/>
  <c r="H150" i="11" a="true"/>
  <c r="J21" i="11" a="true"/>
  <c r="L21" i="11" a="true"/>
  <c r="I21" i="11" a="true"/>
  <c r="D70" i="11" a="true"/>
  <c r="M158" i="11" a="true"/>
  <c r="G77" i="11" a="true"/>
  <c r="K229" i="11" a="true"/>
  <c r="O53" i="11" a="true"/>
  <c r="O21" i="11" a="true"/>
  <c r="M101" i="11" a="true"/>
  <c r="G61" i="11" a="true"/>
  <c r="D246" i="11" a="true"/>
  <c r="H253" i="11" a="true"/>
  <c r="I46" i="11" a="true"/>
  <c r="O94" i="11" a="true"/>
  <c r="K109" i="11" a="true"/>
  <c r="G126" i="11" a="true"/>
  <c r="I182" i="11" a="true"/>
  <c r="N221" i="11" a="true"/>
  <c r="D230" i="11" a="true"/>
  <c r="O78" i="11" a="true"/>
  <c r="J182" i="11" a="true"/>
  <c r="F22" i="11" a="true"/>
  <c r="H189" i="11" a="true"/>
  <c r="N222" i="11" a="true"/>
  <c r="N93" i="11" a="true"/>
  <c r="I93" i="11" a="true"/>
  <c r="L30" i="11" a="true"/>
  <c r="G30" i="11" a="true"/>
  <c r="H126" i="11" a="true"/>
  <c r="N70" i="11" a="true"/>
  <c r="J157" i="11" a="true"/>
  <c r="K222" i="11" a="true"/>
  <c r="D254" i="11" a="true"/>
  <c r="N133" i="11" a="true"/>
  <c r="H213" i="11" a="true"/>
  <c r="M53" i="11" a="true"/>
  <c r="E69" i="11" a="true"/>
  <c r="E85" i="11" a="true"/>
  <c r="E157" i="11" a="true"/>
  <c r="K206" i="11" a="true"/>
  <c r="N254" i="11" a="true"/>
  <c r="I109" i="11" a="true"/>
  <c r="M5" i="11" a="true"/>
  <c r="H70" i="11" a="true"/>
  <c r="E237" i="11" a="true"/>
  <c r="K253" i="11" a="true"/>
  <c r="E142" i="11" a="true"/>
  <c r="D61" i="11" a="true"/>
  <c r="D238" i="11" a="true"/>
  <c r="I14" i="11" a="true"/>
  <c r="G165" i="11" a="true"/>
  <c r="J46" i="11" a="true"/>
  <c r="J85" i="11" a="true"/>
  <c r="L101" i="11" a="true"/>
  <c r="E102" i="11" a="true"/>
  <c r="L206" i="11" a="true"/>
  <c r="H245" i="11" a="true"/>
  <c r="N21" i="11" a="true"/>
  <c r="F6" i="11" a="true"/>
  <c r="L86" i="11" a="true"/>
  <c r="I141" i="11" a="true"/>
  <c r="D237" i="11" a="true"/>
  <c r="H61" i="11" a="true"/>
  <c r="E126" i="11" a="true"/>
  <c r="H229" i="11" a="true"/>
  <c r="I150" i="11" a="true"/>
  <c r="N38" i="11" a="true"/>
  <c r="F93" i="11" a="true"/>
  <c r="F29" i="11" a="true"/>
  <c r="M29" i="11" a="true"/>
  <c r="F53" i="11" a="true"/>
  <c r="O214" i="11" a="true"/>
  <c r="F5" i="11" a="true"/>
  <c r="N37" i="11" a="true"/>
  <c r="D46" i="11" a="true"/>
  <c r="F109" i="11" a="true"/>
  <c r="F78" i="11" a="true"/>
  <c r="N150" i="11" a="true"/>
  <c r="E158" i="11" a="true"/>
  <c r="O45" i="11" a="true"/>
  <c r="M61" i="11" a="true"/>
  <c r="E213" i="11" a="true"/>
  <c r="J5" i="11" a="true"/>
  <c r="D54" i="11" a="true"/>
  <c r="H86" i="11" a="true"/>
  <c r="O86" i="11" a="true"/>
  <c r="J205" i="11" a="true"/>
  <c r="N237" i="11" a="true"/>
  <c r="N174" i="11" a="true"/>
  <c r="L254" i="11" a="true"/>
  <c r="F229" i="11" a="true"/>
  <c r="J174" i="11" a="true"/>
  <c r="K53" i="11" a="true"/>
  <c r="J245" i="11" a="true"/>
  <c r="M102" i="11" a="true"/>
  <c r="G157" i="11" a="true"/>
  <c r="O30" i="11" a="true"/>
  <c r="D206" i="11" a="true"/>
  <c r="E109" i="11" a="true"/>
  <c r="E37" i="11" a="true"/>
  <c r="K69" i="11" a="true"/>
  <c r="F85" i="11" a="true"/>
  <c r="E165" i="11" a="true"/>
  <c r="H21" i="11" a="true"/>
  <c r="M46" i="11" a="true"/>
  <c r="D102" i="11" a="true"/>
  <c r="D157" i="11" a="true"/>
  <c r="K157" i="11" a="true"/>
  <c r="E174" i="11" a="true"/>
  <c r="E29" i="11" a="true"/>
  <c r="G14" i="11" a="true"/>
  <c r="J254" i="11" a="true"/>
  <c r="I54" i="11" a="true"/>
  <c r="N69" i="11" a="true"/>
  <c r="L222" i="11" a="true"/>
  <c r="N182" i="11" a="true"/>
  <c r="F197" i="11" a="true"/>
  <c r="J213" i="11" a="true"/>
  <c r="J53" i="11" a="true"/>
  <c r="F230" i="11" a="true"/>
  <c r="K101" i="11" a="true"/>
  <c r="M86" i="11" a="true"/>
  <c r="K141" i="11" a="true"/>
  <c r="H205" i="11" a="true"/>
  <c r="G62" i="11" a="true"/>
  <c r="K165" i="11" a="true"/>
  <c r="J198" i="11" a="true"/>
  <c r="F77" i="11" a="true"/>
  <c r="O189" i="11" a="true"/>
  <c r="L173" i="11" a="true"/>
  <c r="I142" i="11" a="true"/>
  <c r="D222" i="11" a="true"/>
  <c r="O149" i="11" a="true"/>
  <c r="M214" i="11" a="true"/>
  <c r="H93" i="11" a="true"/>
  <c r="H62" i="11" a="true"/>
  <c r="H77" i="11" a="true"/>
  <c r="D69" i="11" a="true"/>
  <c r="E22" i="11" a="true"/>
  <c r="F205" i="11" a="true"/>
  <c r="G237" i="11" a="true"/>
  <c r="E45" i="11" a="true"/>
  <c r="O77" i="11" a="true"/>
  <c r="D205" i="11" a="true"/>
  <c r="G189" i="11" a="true"/>
  <c r="H237" i="11" a="true"/>
  <c r="N142" i="11" a="true"/>
  <c r="E149" i="11" a="true"/>
  <c r="L149" i="11" a="true"/>
  <c r="H134" i="11" a="true"/>
  <c r="F253" i="11" a="true"/>
  <c r="I158" i="11" a="true"/>
  <c r="G174" i="11" a="true"/>
  <c r="J134" i="11" a="true"/>
  <c r="J118" i="11" a="true"/>
  <c r="L205" i="11" a="true"/>
  <c r="H13" i="11" a="true"/>
  <c r="F46" i="11" a="true"/>
  <c r="I30" i="11" a="true"/>
  <c r="J133" i="11" a="true"/>
  <c r="I181" i="11" a="true"/>
  <c r="G93" i="11" a="true"/>
  <c r="H109" i="11" a="true"/>
  <c r="E229" i="11" a="true"/>
  <c r="D150" i="11" a="true"/>
  <c r="I102" i="11" a="true"/>
  <c r="D101" i="11" a="true"/>
  <c r="O22" i="11" a="true"/>
  <c r="J173" i="11" a="true"/>
  <c r="F237" i="11" a="true"/>
  <c r="O46" i="11" a="true"/>
  <c r="J197" i="11" a="true"/>
  <c r="M206" i="11" a="true"/>
  <c r="E77" i="11" a="true"/>
  <c r="E110" i="11" a="true"/>
  <c r="N110" i="11" a="true"/>
  <c r="H133" i="11" a="true"/>
  <c r="F213" i="11" a="true"/>
  <c r="K5" i="11" a="true"/>
  <c r="O85" i="11" a="true"/>
  <c r="K38" i="11" a="true"/>
  <c r="H38" i="11" a="true"/>
  <c r="D93" i="11" a="true"/>
  <c r="M14" i="11" a="true"/>
  <c r="I126" i="11" a="true"/>
  <c r="N230" i="11" a="true"/>
  <c r="M22" i="11" a="true"/>
  <c r="F189" i="11" a="true"/>
  <c r="H174" i="11" a="true"/>
  <c r="M181" i="11" a="true"/>
  <c r="M166" i="11" a="true"/>
  <c r="G197" i="11" a="true"/>
  <c r="K70" i="11" a="true"/>
  <c r="F86" i="11" a="true"/>
  <c r="E189" i="11" a="true"/>
  <c r="E93" i="11" a="true"/>
  <c r="M13" i="11" a="true"/>
  <c r="M109" i="11" a="true"/>
  <c r="K182" i="11" a="true"/>
  <c r="N198" i="11" a="true"/>
  <c r="H85" i="11" a="true"/>
  <c r="K246" i="11" a="true"/>
  <c r="I221" i="11" a="true"/>
  <c r="I253" i="11" a="true"/>
  <c r="M142" i="11" a="true"/>
  <c r="G13" i="11" a="true"/>
  <c r="H30" i="11" a="true"/>
  <c r="I149" i="11" a="true"/>
  <c r="H54" i="11" a="true"/>
  <c r="I85" i="11" a="true"/>
  <c r="O38" i="11" a="true"/>
  <c r="G125" i="11" a="true"/>
  <c r="O213" i="11" a="true"/>
  <c r="E214" i="11" a="true"/>
  <c r="O93" i="11" a="true"/>
  <c r="M77" i="11" a="true"/>
  <c r="J230" i="11" a="true"/>
  <c r="O37" i="11" a="true"/>
  <c r="M6" i="11" a="true"/>
  <c r="L142" i="11" a="true"/>
  <c r="K149" i="11" a="true"/>
  <c r="F134" i="11" a="true"/>
  <c r="J165" i="11" a="true"/>
  <c r="I70" i="11" a="true"/>
  <c r="D253" i="11" a="true"/>
  <c r="N77" i="11" a="true"/>
  <c r="F14" i="11" a="true"/>
  <c r="E181" i="11" a="true"/>
  <c r="M85" i="11" a="true"/>
  <c r="D173" i="11" a="true"/>
  <c r="K46" i="11" a="true"/>
  <c r="G109" i="11" a="true"/>
  <c r="D134" i="11" a="true"/>
  <c r="I165" i="11" a="true"/>
  <c r="D86" i="11" a="true"/>
  <c r="K86" i="11" a="true"/>
  <c r="F190" i="11" a="true"/>
  <c r="H46" i="11" a="true"/>
  <c r="E94" i="11" a="true"/>
  <c r="F126" i="11" a="true"/>
  <c r="H166" i="11" a="true"/>
  <c r="D117" i="11" a="true"/>
  <c r="O205" i="11" a="true"/>
  <c r="K45" i="11" a="true"/>
  <c r="M45" i="11" a="true"/>
  <c r="F222" i="11" a="true"/>
  <c r="L125" i="11" a="true"/>
  <c r="M126" i="11" a="true"/>
  <c r="L117" i="11" a="true"/>
  <c r="L22" i="11" a="true"/>
  <c r="D14" i="11" a="true"/>
  <c r="O254" i="11" a="true"/>
  <c r="I166" i="11" a="true"/>
  <c r="M198" i="11" a="true"/>
  <c r="H214" i="11" a="true"/>
  <c r="L102" i="11" a="true"/>
  <c r="M237" i="11" a="true"/>
  <c r="H142" i="11" a="true"/>
  <c r="J61" i="11" a="true"/>
  <c r="K29" i="11" a="true"/>
  <c r="D94" i="11" a="true"/>
  <c r="K213" i="11" a="true"/>
  <c r="G253" i="11" a="true"/>
  <c r="F142" i="11" a="true"/>
  <c r="K78" i="11" a="true"/>
  <c r="N214" i="11" a="true"/>
  <c r="F69" i="11" a="true"/>
  <c r="H22" i="11" a="true"/>
  <c r="O70" i="11" a="true"/>
  <c r="N78" i="11" a="true"/>
  <c r="I254" i="11" a="true"/>
  <c r="I69" i="11" a="true"/>
  <c r="M118" i="11" a="true"/>
  <c r="H102" i="11" a="true"/>
  <c r="F246" i="11" a="true"/>
  <c r="M189" i="11" a="true"/>
  <c r="L181" i="11" a="true"/>
  <c r="F165" i="11" a="true"/>
  <c r="E70" i="11" a="true"/>
  <c r="I246" i="11" a="true"/>
  <c r="L61" i="11" a="true"/>
  <c r="O238" i="11" a="true"/>
  <c r="M94" i="11" a="true"/>
  <c r="F182" i="11" a="true"/>
  <c r="D213" i="11" a="true"/>
  <c r="I117" i="11" a="true"/>
  <c r="J13" i="11" a="true"/>
  <c r="G22" i="11" a="true"/>
  <c r="I173" i="11" a="true"/>
  <c r="D190" i="11" a="true"/>
  <c r="K142" i="11" a="true"/>
  <c r="G222" i="11" a="true"/>
  <c r="G46" i="11" a="true"/>
  <c r="I78" i="11" a="true"/>
  <c r="E166" i="11" a="true"/>
  <c r="M38" i="11" a="true"/>
  <c r="F30" i="11" a="true"/>
  <c r="H182" i="11" a="true"/>
  <c r="G182" i="11" a="true"/>
  <c r="H197" i="11" a="true"/>
  <c r="L213" i="11" a="true"/>
  <c r="E134" i="11" a="true"/>
  <c r="D166" i="11" a="true"/>
  <c r="N213" i="11" a="true"/>
  <c r="O150" i="11" a="true"/>
  <c r="D165" i="11" a="true"/>
  <c r="N246" i="11" a="true"/>
  <c r="K237" i="11" a="true"/>
  <c r="G245" i="11" a="true"/>
  <c r="M69" i="11" a="true"/>
  <c r="M221" i="11" a="true"/>
  <c r="D158" i="11" a="true"/>
  <c r="K238" i="11" a="true"/>
  <c r="L93" i="11" a="true"/>
  <c r="G181" i="11" a="true"/>
  <c r="N165" i="11" a="true"/>
  <c r="J37" i="11" a="true"/>
  <c r="D22" i="11" a="true"/>
  <c r="J142" i="11" a="true"/>
  <c r="N30" i="11" a="true"/>
  <c r="N149" i="11" a="true"/>
  <c r="J93" i="11" a="true"/>
  <c r="J149" i="11" a="true"/>
  <c r="H181" i="11" a="true"/>
  <c r="I198" i="11" a="true"/>
  <c r="J54" i="11" a="true"/>
  <c r="G69" i="11" a="true"/>
  <c r="J238" i="11" a="true"/>
  <c r="E254" i="11" a="true"/>
  <c r="M213" i="11" a="true"/>
  <c r="I86" i="11" a="true"/>
  <c r="J206" i="11" a="true"/>
  <c r="O206" i="11" a="true"/>
  <c r="J222" i="11" a="true"/>
  <c r="L94" i="11" a="true"/>
  <c r="I133" i="11" a="true"/>
  <c r="G229" i="11" a="true"/>
  <c r="I37" i="11" a="true"/>
  <c r="L157" i="11" a="true"/>
  <c r="N6" i="11" a="true"/>
  <c r="N253" i="11" a="true"/>
  <c r="N158" i="11" a="true"/>
  <c r="D109" i="11" a="true"/>
  <c r="L118" i="11" a="true"/>
  <c r="I118" i="11" a="true"/>
  <c r="O157" i="11" a="true"/>
  <c r="O173" i="11" a="true"/>
  <c r="E205" i="11" a="true"/>
  <c r="O158" i="11" a="true"/>
  <c r="N245" i="11" a="true"/>
  <c r="L6" i="11" a="true"/>
  <c r="O141" i="11" a="true"/>
  <c r="E190" i="11" a="true"/>
  <c r="I45" i="11" a="true"/>
  <c r="L13" i="11" a="true"/>
  <c r="F133" i="11" a="true"/>
  <c r="F150" i="11" a="true"/>
  <c r="H5" i="11" a="true"/>
  <c r="E6" i="11" a="true"/>
  <c r="N189" i="11" a="true"/>
  <c r="J221" i="11" a="true"/>
  <c r="J30" i="11" a="true"/>
  <c r="H206" i="11" a="true"/>
  <c r="L29" i="11" a="true"/>
  <c r="O109" i="11" a="true"/>
  <c r="H254" i="11" a="true"/>
  <c r="F166" i="11" a="true"/>
  <c r="E101" i="11" a="true"/>
  <c r="M117" i="11" a="true"/>
  <c r="J102" i="11" a="true"/>
  <c r="I189" i="11" a="true"/>
  <c r="L77" i="11" a="true"/>
  <c r="N94" i="11" a="true"/>
  <c r="E133" i="11" a="true"/>
  <c r="L165" i="11" a="true"/>
  <c r="D6" i="11" a="true"/>
  <c r="M246" i="11" a="true"/>
  <c r="M190" i="11" a="true"/>
  <c r="J45" i="11" a="true"/>
  <c r="K14" i="11" a="true"/>
  <c r="N134" i="11" a="true"/>
  <c r="O165" i="11" a="true"/>
  <c r="K205" i="11" a="true"/>
  <c r="N46" i="11" a="true"/>
  <c r="D182" i="11" a="true"/>
  <c r="J229" i="11" a="true"/>
  <c r="N5" i="11" a="true"/>
  <c r="K54" i="11" a="true"/>
  <c r="J22" i="11" a="true"/>
  <c r="I38" i="11" a="true"/>
  <c r="G118" i="11" a="true"/>
  <c r="K102" i="11" a="true"/>
  <c r="I77" i="11" a="true"/>
  <c r="K166" i="11" a="true"/>
  <c r="M150" i="11" a="true"/>
  <c r="O117" i="11" a="true"/>
  <c r="G6" i="11" a="true"/>
  <c r="E118" i="11" a="true"/>
  <c r="L141" i="11" a="true"/>
  <c r="N173" i="11" a="true"/>
  <c r="K190" i="11" a="true"/>
  <c r="E221" i="11" a="true"/>
  <c r="O253" i="11" a="true"/>
  <c r="H94" i="11" a="true"/>
  <c r="L174" i="11" a="true"/>
  <c r="L45" i="11" a="true"/>
  <c r="N206" i="11" a="true"/>
  <c r="E13" i="11" a="true"/>
  <c r="I29" i="11" a="true"/>
  <c r="J181" i="11" a="true"/>
  <c r="F245" i="11" a="true"/>
  <c r="G54" i="11" a="true"/>
  <c r="H118" i="11" a="true"/>
  <c r="J86" i="11" a="true"/>
  <c r="F110" i="11" a="true"/>
  <c r="L150" i="11" a="true"/>
  <c r="F37" i="11" a="true"/>
  <c r="G206" i="11" a="true"/>
  <c r="D30" i="11" a="true"/>
  <c r="J78" i="11" a="true"/>
  <c r="O133" i="11" a="true"/>
  <c r="M149" i="11" a="true"/>
  <c r="M165" i="11" a="true"/>
  <c r="K37" i="11" a="true"/>
  <c r="H117" i="11" a="true"/>
  <c r="K221" i="11" a="true"/>
  <c r="E253" i="11" a="true"/>
  <c r="J253" i="11" a="true"/>
  <c r="I174" i="11" a="true"/>
  <c r="G238" i="11" a="true"/>
  <c r="G94" i="11" a="true"/>
  <c r="K94" i="11" a="true"/>
  <c r="L85" i="11" a="true"/>
  <c r="L246" i="11" a="true"/>
  <c r="N61" i="11" a="true"/>
  <c r="E222" i="11" a="true"/>
  <c r="O222" i="11" a="true"/>
  <c r="G78" i="11" a="true"/>
  <c r="F181" i="11" a="true"/>
  <c r="L214" i="11" a="true"/>
  <c r="G101" i="11" a="true"/>
  <c r="N117" i="11" a="true"/>
  <c r="O174" i="11" a="true"/>
  <c r="E46" i="11" a="true"/>
  <c r="K30" i="11" a="true"/>
  <c r="E78" i="11" a="true"/>
  <c r="G149" i="11" a="true"/>
  <c r="N197" i="11" a="true"/>
  <c r="O246" i="11" a="true"/>
  <c r="N29" i="11" a="true"/>
  <c r="I53" i="11" a="true"/>
  <c r="E198" i="11" a="true"/>
  <c r="K214" i="11" a="true"/>
  <c r="N54" i="11" a="true"/>
  <c r="O54" i="11" a="true"/>
  <c r="N101" i="11" a="true"/>
  <c r="D38" i="11" a="true"/>
  <c r="F141" i="11" a="true"/>
  <c r="N157" i="11" a="true"/>
  <c r="J125" i="11" a="true"/>
  <c r="K133" i="11" a="true"/>
  <c r="K118" i="11" a="true"/>
  <c r="M141" i="11" a="true"/>
  <c r="F13" i="11" a="true"/>
  <c r="L78" i="11" a="true"/>
  <c r="D181" i="11" a="true"/>
  <c r="D53" i="11" a="true"/>
  <c r="D198" i="11" a="true"/>
  <c r="F198" i="11" a="true"/>
  <c r="L221" i="11" a="true"/>
  <c r="D45" i="11" a="true"/>
  <c r="I222" i="11" a="true"/>
  <c r="M222" i="11" a="true"/>
  <c r="L166" i="11" a="true"/>
  <c r="E197" i="11" a="true"/>
  <c r="M229" i="11" a="true"/>
  <c r="G214" i="11" a="true"/>
  <c r="J141" i="11" a="true"/>
  <c r="D221" i="11" a="true"/>
  <c r="K158" i="11" a="true"/>
  <c r="E206" i="11" a="true"/>
  <c r="F62" i="11" a="true"/>
  <c r="H14" i="11" a="true"/>
  <c r="I214" i="11" a="true"/>
  <c r="D21" i="11" a="true"/>
  <c r="K85" i="11" a="true"/>
  <c r="G141" i="11" a="true"/>
  <c r="K93" i="11" a="true"/>
  <c r="M230" i="11" a="true"/>
  <c r="D141" i="11" a="true"/>
  <c r="G254" i="11" a="true"/>
  <c r="K197" i="11" a="true"/>
  <c r="M245" i="11" a="true"/>
  <c r="D5" i="11" a="true"/>
  <c r="L189" i="11" a="true"/>
  <c r="L46" i="11" a="true"/>
  <c r="J77" i="11" a="true"/>
  <c r="H165" i="11" a="true"/>
  <c r="E117" i="11" a="true"/>
  <c r="J189" i="11" a="true"/>
  <c r="O190" i="11" a="true"/>
  <c r="G37" i="11" a="true"/>
  <c r="N85" i="11" a="true"/>
  <c r="D189" i="11" a="true"/>
  <c r="F206" i="11" a="true"/>
  <c r="N238" i="11" a="true"/>
  <c r="I238" i="11" a="true"/>
  <c r="O125" i="11" a="true"/>
  <c r="O110" i="11" a="true"/>
  <c r="D133" i="11" a="true"/>
  <c r="J70" i="11" a="true"/>
  <c r="G110" i="11" a="true"/>
  <c r="F149" i="11" a="true"/>
  <c r="O229" i="11" a="true"/>
  <c r="K150" i="11" a="true"/>
  <c r="J214" i="11" a="true"/>
  <c r="D77" i="11" a="true"/>
  <c r="L69" i="11" a="true"/>
  <c r="H6" i="11" a="true"/>
  <c r="L70" i="11" a="true"/>
  <c r="E246" i="11" a="true"/>
  <c r="I237" i="11" a="true"/>
  <c r="F158" i="11" a="true"/>
  <c r="N125" i="11" a="true"/>
  <c r="K13" i="11" a="true"/>
  <c r="J29" i="11" a="true"/>
  <c r="L253" i="11" a="true"/>
  <c r="J126" i="11" a="true"/>
  <c r="D37" i="11" a="true"/>
  <c r="G45" i="11" a="true"/>
  <c r="I61" i="11" a="true"/>
  <c r="E62" i="11" a="true"/>
  <c r="F101" i="11" a="true"/>
  <c r="E38" i="11" a="true"/>
  <c r="D118" i="11" a="true"/>
  <c r="K189" i="11" a="true"/>
  <c r="M133" i="11" a="true"/>
  <c r="G85" i="11" a="true"/>
  <c r="O118" i="11" a="true"/>
  <c r="K173" i="11" a="true"/>
  <c r="D174" i="11" a="true"/>
  <c r="K125" i="11" a="true"/>
  <c r="H78" i="11" a="true"/>
  <c r="N181" i="11" a="true"/>
  <c r="E53" i="11" a="true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H3" authorId="0" shapeId="0" xr:uid="{bb028012-a8e0-4012-ba5a-776a6b1f9254}">
      <text>
        <r>
          <t>按照电力交易机构公示水平结算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<sst xmlns="http://schemas.openxmlformats.org/spreadsheetml/2006/main" count="1" uniqueCount="1">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</sst>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0.0000"/>
    <numFmt numFmtId="165" formatCode="yyyy年m月"/>
    <numFmt numFmtId="166" formatCode="0.0000"/>
    <numFmt numFmtId="167" formatCode="0.000"/>
    <numFmt numFmtId="168" formatCode="0.000"/>
    <numFmt numFmtId="169" formatCode="General"/>
    <numFmt numFmtId="170" formatCode="General"/>
    <numFmt numFmtId="171" formatCode="General"/>
    <numFmt numFmtId="172" formatCode="0.0000"/>
    <numFmt numFmtId="173" formatCode="0.0000"/>
    <numFmt numFmtId="174" formatCode="0.0000"/>
  </numFmts>
  <fonts count="7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4"/>
      <color rgb="FFFFFFFF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0"/>
      <color rgb="FF1F2329"/>
      <name val="Calibri"/>
      <family val="2"/>
      <scheme val="minor"/>
    </font>
  </fonts>
  <fills count="5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245BDB"/>
        <bgColor/>
      </patternFill>
    </fill>
    <fill>
      <patternFill patternType="solid">
        <fgColor rgb="FF8F959E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667901"/>
        <bgColor/>
      </patternFill>
    </fill>
    <fill>
      <patternFill patternType="solid">
        <fgColor rgb="FFF8F9FA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F8F9FA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8F959E"/>
        <bgColor/>
      </patternFill>
    </fill>
    <fill>
      <patternFill patternType="solid">
        <fgColor rgb="FF036356"/>
        <bgColor/>
      </patternFill>
    </fill>
    <fill>
      <patternFill patternType="solid">
        <fgColor rgb="FF8F959E"/>
        <bgColor/>
      </patternFill>
    </fill>
    <fill>
      <patternFill patternType="solid">
        <fgColor rgb="FF036356"/>
        <bgColor/>
      </patternFill>
    </fill>
    <fill>
      <patternFill patternType="solid">
        <fgColor rgb="FFF8F9FA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1EAFF"/>
        <bgColor/>
      </patternFill>
    </fill>
    <fill>
      <patternFill patternType="solid">
        <fgColor rgb="FFF8F9FA"/>
        <bgColor/>
      </patternFill>
    </fill>
    <fill>
      <patternFill patternType="solid">
        <fgColor rgb="FFEEF6C6"/>
        <bgColor/>
      </patternFill>
    </fill>
    <fill>
      <patternFill patternType="solid">
        <fgColor rgb="FFE1EAFF"/>
        <bgColor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true" applyFont="true" applyNumberFormat="false" applyProtection="false" borderId="4" fillId="2" fontId="1" numFmtId="0" xfId="0">
      <alignment horizontal="right" vertical="center" wrapText="true"/>
    </xf>
    <xf applyAlignment="true" applyBorder="false" applyFill="true" applyFont="true" applyNumberFormat="false" applyProtection="false" borderId="5" fillId="3" fontId="1" numFmtId="0" xfId="0">
      <alignment vertical="center"/>
    </xf>
    <xf applyAlignment="true" applyBorder="false" applyFill="true" applyFont="true" applyNumberFormat="true" applyProtection="false" borderId="6" fillId="4" fontId="1" numFmtId="164" xfId="0">
      <alignment horizontal="right" vertical="center" wrapText="true"/>
    </xf>
    <xf applyAlignment="true" applyBorder="false" applyFill="true" applyFont="true" applyNumberFormat="false" applyProtection="false" borderId="7" fillId="5" fontId="1" numFmtId="0" xfId="0">
      <alignment vertical="center" wrapText="true"/>
    </xf>
    <xf applyAlignment="true" applyBorder="false" applyFill="true" applyFont="true" applyNumberFormat="false" applyProtection="false" borderId="8" fillId="6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right" vertical="center" wrapText="true"/>
    </xf>
    <xf applyAlignment="true" applyBorder="false" applyFill="true" applyFont="true" applyNumberFormat="true" applyProtection="false" borderId="10" fillId="7" fontId="2" numFmtId="165" xfId="0">
      <alignment horizontal="center" vertical="center"/>
    </xf>
    <xf applyAlignment="true" applyBorder="false" applyFill="true" applyFont="true" applyNumberFormat="false" applyProtection="false" borderId="11" fillId="8" fontId="2" numFmtId="0" xfId="0">
      <alignment horizontal="center" vertical="center" wrapText="true"/>
    </xf>
    <xf applyAlignment="true" applyBorder="false" applyFill="true" applyFont="true" applyNumberFormat="false" applyProtection="false" borderId="12" fillId="9" fontId="2" numFmtId="0" xfId="0">
      <alignment horizontal="center" vertical="center"/>
    </xf>
    <xf applyAlignment="true" applyBorder="false" applyFill="true" applyFont="true" applyNumberFormat="false" applyProtection="false" borderId="13" fillId="10" fontId="1" numFmtId="0" xfId="0">
      <alignment horizontal="right" vertical="center" wrapText="true"/>
    </xf>
    <xf applyAlignment="true" applyBorder="false" applyFill="true" applyFont="true" applyNumberFormat="false" applyProtection="false" borderId="14" fillId="11" fontId="1" numFmtId="0" xfId="0">
      <alignment vertical="center"/>
    </xf>
    <xf applyAlignment="true" applyBorder="false" applyFill="true" applyFont="true" applyNumberFormat="false" applyProtection="false" borderId="15" fillId="12" fontId="1" numFmtId="0" xfId="0">
      <alignment horizontal="center" vertical="center"/>
    </xf>
    <xf applyAlignment="true" applyBorder="false" applyFill="true" applyFont="true" applyNumberFormat="false" applyProtection="false" borderId="16" fillId="13" fontId="1" numFmtId="0" xfId="0">
      <alignment vertical="center" wrapText="true"/>
    </xf>
    <xf applyAlignment="true" applyBorder="false" applyFill="true" applyFont="true" applyNumberFormat="true" applyProtection="false" borderId="17" fillId="14" fontId="1" numFmtId="166" xfId="0">
      <alignment horizontal="right" vertical="center" wrapText="true"/>
    </xf>
    <xf applyAlignment="true" applyBorder="false" applyFill="true" applyFont="true" applyNumberFormat="true" applyProtection="false" borderId="18" fillId="15" fontId="3" numFmtId="167" xfId="0">
      <alignment vertical="center"/>
    </xf>
    <xf applyAlignment="true" applyBorder="false" applyFill="true" applyFont="true" applyNumberFormat="true" applyProtection="false" borderId="19" fillId="16" fontId="1" numFmtId="168" xfId="0">
      <alignment horizontal="right" vertical="center" wrapText="true"/>
    </xf>
    <xf applyAlignment="true" applyBorder="false" applyFill="true" applyFont="true" applyNumberFormat="false" applyProtection="false" borderId="20" fillId="17" fontId="1" numFmtId="0" xfId="0">
      <alignment horizontal="center" vertical="center" wrapText="true"/>
    </xf>
    <xf applyAlignment="true" applyBorder="false" applyFill="true" applyFont="true" applyNumberFormat="false" applyProtection="false" borderId="21" fillId="18" fontId="1" numFmtId="0" xfId="0">
      <alignment horizontal="left" vertical="center" wrapText="true"/>
    </xf>
    <xf applyAlignment="true" applyBorder="false" applyFill="true" applyFont="true" applyNumberFormat="false" applyProtection="false" borderId="22" fillId="19" fontId="4" numFmtId="0" xfId="0">
      <alignment horizontal="center" vertical="center" wrapText="true"/>
    </xf>
    <xf applyAlignment="true" applyBorder="false" applyFill="true" applyFont="true" applyNumberFormat="false" applyProtection="false" borderId="23" fillId="20" fontId="3" numFmtId="0" xfId="0">
      <alignment horizontal="center" vertical="center" wrapText="true"/>
    </xf>
    <xf applyAlignment="true" applyBorder="false" applyFill="true" applyFont="true" applyNumberFormat="false" applyProtection="false" borderId="24" fillId="21" fontId="1" numFmtId="0" xfId="0">
      <alignment horizontal="center" vertical="center"/>
    </xf>
    <xf applyAlignment="true" applyBorder="false" applyFill="true" applyFont="true" applyNumberFormat="false" applyProtection="false" borderId="25" fillId="22" fontId="1" numFmtId="0" xfId="0">
      <alignment horizontal="right" vertical="center" wrapText="true"/>
    </xf>
    <xf applyAlignment="true" applyBorder="false" applyFill="true" applyFont="true" applyNumberFormat="false" applyProtection="false" borderId="26" fillId="23" fontId="1" numFmtId="0" xfId="0">
      <alignment vertical="center" wrapText="true"/>
    </xf>
    <xf applyAlignment="true" applyBorder="false" applyFill="true" applyFont="true" applyNumberFormat="false" applyProtection="false" borderId="27" fillId="24" fontId="1" numFmtId="0" xfId="0">
      <alignment vertical="center" wrapText="true"/>
    </xf>
    <xf applyAlignment="true" applyBorder="false" applyFill="true" applyFont="true" applyNumberFormat="false" applyProtection="false" borderId="28" fillId="25" fontId="1" numFmtId="0" xfId="0">
      <alignment horizontal="right" vertical="center" wrapText="true"/>
    </xf>
    <xf applyAlignment="true" applyBorder="false" applyFill="true" applyFont="true" applyNumberFormat="false" applyProtection="false" borderId="29" fillId="26" fontId="1" numFmtId="0" xfId="0">
      <alignment vertical="center"/>
    </xf>
    <xf applyAlignment="true" applyBorder="false" applyFill="true" applyFont="true" applyNumberFormat="false" applyProtection="false" borderId="30" fillId="27" fontId="1" numFmtId="0" xfId="0">
      <alignment horizontal="center" vertical="center"/>
    </xf>
    <xf applyAlignment="true" applyBorder="false" applyFill="true" applyFont="true" applyNumberFormat="false" applyProtection="false" borderId="31" fillId="28" fontId="5" numFmtId="0" xfId="0">
      <alignment horizontal="center" vertical="center" wrapText="true"/>
    </xf>
    <xf applyAlignment="true" applyBorder="false" applyFill="true" applyFont="true" applyNumberFormat="true" applyProtection="false" borderId="32" fillId="29" fontId="5" numFmtId="169" xfId="0">
      <alignment horizontal="center" vertical="center"/>
    </xf>
    <xf applyAlignment="true" applyBorder="false" applyFill="true" applyFont="true" applyNumberFormat="true" applyProtection="false" borderId="33" fillId="30" fontId="5" numFmtId="170" xfId="0">
      <alignment horizontal="center" vertical="center"/>
    </xf>
    <xf applyAlignment="true" applyBorder="false" applyFill="true" applyFont="true" applyNumberFormat="false" applyProtection="false" borderId="34" fillId="31" fontId="5" numFmtId="0" xfId="0">
      <alignment horizontal="center" vertical="center"/>
    </xf>
    <xf applyAlignment="true" applyBorder="false" applyFill="true" applyFont="true" applyNumberFormat="false" applyProtection="false" borderId="35" fillId="32" fontId="5" numFmtId="0" xfId="0">
      <alignment vertical="center"/>
    </xf>
    <xf applyAlignment="true" applyBorder="false" applyFill="true" applyFont="true" applyNumberFormat="false" applyProtection="false" borderId="36" fillId="33" fontId="5" numFmtId="0" xfId="0">
      <alignment horizontal="center" vertical="center"/>
    </xf>
    <xf applyAlignment="true" applyBorder="false" applyFill="true" applyFont="true" applyNumberFormat="false" applyProtection="false" borderId="37" fillId="34" fontId="5" numFmtId="0" xfId="0">
      <alignment vertical="center" wrapText="true"/>
    </xf>
    <xf applyAlignment="true" applyBorder="false" applyFill="true" applyFont="true" applyNumberFormat="false" applyProtection="false" borderId="38" fillId="35" fontId="5" numFmtId="0" xfId="0">
      <alignment vertical="center"/>
    </xf>
    <xf applyAlignment="true" applyBorder="false" applyFill="true" applyFont="true" applyNumberFormat="false" applyProtection="false" borderId="39" fillId="36" fontId="5" numFmtId="0" xfId="0">
      <alignment vertical="center" wrapText="true"/>
    </xf>
    <xf applyAlignment="true" applyBorder="false" applyFill="true" applyFont="true" applyNumberFormat="false" applyProtection="false" borderId="40" fillId="37" fontId="5" numFmtId="0" xfId="0">
      <alignment horizontal="center" vertical="center" wrapText="true"/>
    </xf>
    <xf applyAlignment="true" applyBorder="false" applyFill="true" applyFont="true" applyNumberFormat="false" applyProtection="false" borderId="41" fillId="38" fontId="5" numFmtId="0" xfId="0">
      <alignment horizontal="center" vertical="center"/>
    </xf>
    <xf applyAlignment="true" applyBorder="false" applyFill="true" applyFont="true" applyNumberFormat="true" applyProtection="false" borderId="42" fillId="39" fontId="5" numFmtId="171" xfId="0">
      <alignment horizontal="center" vertical="center"/>
    </xf>
    <xf applyAlignment="true" applyBorder="false" applyFill="false" applyFont="true" applyNumberFormat="false" applyProtection="false" borderId="43" fillId="0" fontId="5" numFmtId="0" xfId="0">
      <alignment horizontal="center" vertical="center"/>
    </xf>
    <xf applyAlignment="true" applyBorder="false" applyFill="false" applyFont="true" applyNumberFormat="false" applyProtection="false" borderId="44" fillId="0" fontId="5" numFmtId="0" xfId="0">
      <alignment vertical="center"/>
    </xf>
    <xf applyAlignment="true" applyBorder="false" applyFill="false" applyFont="true" applyNumberFormat="false" applyProtection="false" borderId="45" fillId="0" fontId="5" numFmtId="0" xfId="0">
      <alignment horizontal="center" vertical="center" wrapText="true"/>
    </xf>
    <xf applyAlignment="true" applyBorder="false" applyFill="false" applyFont="true" applyNumberFormat="false" applyProtection="false" borderId="46" fillId="0" fontId="5" numFmtId="0" xfId="0">
      <alignment vertical="center" wrapText="true"/>
    </xf>
    <xf applyAlignment="true" applyBorder="false" applyFill="false" applyFont="true" applyNumberFormat="false" applyProtection="false" borderId="47" fillId="0" fontId="6" numFmtId="0" xfId="0">
      <alignment horizontal="center" vertical="center"/>
    </xf>
    <xf applyAlignment="true" applyBorder="false" applyFill="false" applyFont="true" applyNumberFormat="false" applyProtection="false" borderId="48" fillId="0" fontId="3" numFmtId="0" xfId="0">
      <alignment horizontal="center" vertical="center"/>
    </xf>
    <xf applyAlignment="true" applyBorder="false" applyFill="false" applyFont="true" applyNumberFormat="false" applyProtection="false" borderId="49" fillId="0" fontId="6" numFmtId="0" xfId="0">
      <alignment horizontal="center" vertical="center"/>
    </xf>
    <xf applyAlignment="true" applyBorder="false" applyFill="true" applyFont="true" applyNumberFormat="false" applyProtection="false" borderId="50" fillId="40" fontId="2" numFmtId="0" xfId="0">
      <alignment horizontal="center" vertical="center"/>
    </xf>
    <xf applyAlignment="true" applyBorder="false" applyFill="true" applyFont="true" applyNumberFormat="false" applyProtection="false" borderId="51" fillId="41" fontId="2" numFmtId="0" xfId="0">
      <alignment horizontal="center" vertical="center" wrapText="true"/>
    </xf>
    <xf applyAlignment="true" applyBorder="false" applyFill="true" applyFont="true" applyNumberFormat="false" applyProtection="false" borderId="52" fillId="42" fontId="2" numFmtId="0" xfId="0">
      <alignment horizontal="center" vertical="center" wrapText="true"/>
    </xf>
    <xf applyAlignment="true" applyBorder="false" applyFill="true" applyFont="true" applyNumberFormat="false" applyProtection="false" borderId="53" fillId="43" fontId="2" numFmtId="0" xfId="0">
      <alignment horizontal="center" vertical="center"/>
    </xf>
    <xf applyAlignment="true" applyBorder="false" applyFill="true" applyFont="true" applyNumberFormat="true" applyProtection="false" borderId="54" fillId="44" fontId="1" numFmtId="172" xfId="0">
      <alignment horizontal="center" vertical="center"/>
    </xf>
    <xf applyAlignment="true" applyBorder="false" applyFill="true" applyFont="true" applyNumberFormat="false" applyProtection="false" borderId="55" fillId="45" fontId="1" numFmtId="0" xfId="0">
      <alignment horizontal="center" vertical="center" wrapText="true"/>
    </xf>
    <xf applyAlignment="true" applyBorder="false" applyFill="true" applyFont="true" applyNumberFormat="true" applyProtection="false" borderId="56" fillId="46" fontId="1" numFmtId="173" xfId="0">
      <alignment horizontal="center" vertical="center"/>
    </xf>
    <xf applyAlignment="true" applyBorder="false" applyFill="true" applyFont="true" applyNumberFormat="true" applyProtection="false" borderId="57" fillId="47" fontId="1" numFmtId="174" xfId="0">
      <alignment horizontal="center" vertical="center"/>
    </xf>
    <xf applyAlignment="true" applyBorder="false" applyFill="true" applyFont="true" applyNumberFormat="false" applyProtection="false" borderId="58" fillId="48" fontId="1" numFmtId="0" xfId="0">
      <alignment horizontal="left" vertical="center"/>
    </xf>
    <xf applyAlignment="true" applyBorder="false" applyFill="true" applyFont="true" applyNumberFormat="false" applyProtection="false" borderId="59" fillId="49" fontId="1" numFmtId="0" xfId="0">
      <alignment horizontal="left" vertical="center"/>
    </xf>
    <xf applyAlignment="true" applyBorder="false" applyFill="true" applyFont="true" applyNumberFormat="false" applyProtection="false" borderId="60" fillId="5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calcChain.xml" Type="http://schemas.openxmlformats.org/officeDocument/2006/relationships/calcChain"></Relationship><Relationship Id="rId18" Target="metadata.xml" Type="http://schemas.openxmlformats.org/officeDocument/2006/relationships/sheetMetadata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>
                <a:solidFill>
                  <a:srgbClr val="FFFFFF"/>
                </a:solidFill>
              </a:rPr>
              <a:t>到户电价-电网代购对比（元/kWh）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lineChart>
        <grouping val="standard"/>
        <varyColors val="false"/>
        <ser>
          <idx val="0"/>
          <order val="0"/>
          <tx>
            <strRef>
              <f>'首页+选择功能'!$B$63</f>
            </strRef>
          </tx>
          <spPr>
            <a:solidFill>
              <a:srgbClr val="3B72F2"/>
            </a:solidFill>
            <a:ln w="19050">
              <a:solidFill>
                <a:srgbClr val="3B72F2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FFFFFF"/>
                    </a:solidFill>
                  </a:defRPr>
                </a:pPr>
                <a:endParaRPr lang="en-US"/>
              </a:p>
            </txPr>
          </dLbls>
          <marker>
            <symbol val="diamond"/>
            <size val="7"/>
            <spPr>
              <a:solidFill>
                <a:srgbClr val="3B72F2"/>
              </a:solidFill>
              <a:ln w="19050">
                <a:solidFill>
                  <a:srgbClr val="3B72F2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'首页+选择功能'!$C$62:$Z$62</f>
            </strRef>
          </cat>
          <val>
            <numRef>
              <f>'首页+选择功能'!$C$63:$Z$63</f>
            </numRef>
          </val>
          <smooth val="true"/>
        </ser>
        <ser>
          <idx val="1"/>
          <order val="1"/>
          <tx>
            <strRef>
              <f>'首页+选择功能'!$B$64</f>
            </strRef>
          </tx>
          <spPr>
            <a:solidFill>
              <a:srgbClr val="F2870D"/>
            </a:solidFill>
            <a:ln w="19050">
              <a:solidFill>
                <a:srgbClr val="F2870D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FFFFFF"/>
                    </a:solidFill>
                  </a:defRPr>
                </a:pPr>
                <a:endParaRPr lang="en-US"/>
              </a:p>
            </txPr>
          </dLbls>
          <marker>
            <symbol val="diamond"/>
            <size val="7"/>
            <spPr>
              <a:solidFill>
                <a:srgbClr val="F2870D"/>
              </a:solidFill>
              <a:ln w="19050">
                <a:solidFill>
                  <a:srgbClr val="F2870D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'首页+选择功能'!$C$62:$Z$62</f>
            </strRef>
          </cat>
          <val>
            <numRef>
              <f>'首页+选择功能'!$C$64:$Z$64</f>
            </numRef>
          </val>
          <smooth val="true"/>
        </ser>
        <ser>
          <idx val="2"/>
          <order val="2"/>
          <tx>
            <strRef>
              <f>'首页+选择功能'!$B$65</f>
            </strRef>
          </tx>
          <spPr>
            <a:solidFill>
              <a:srgbClr val="1FBAF2"/>
            </a:solidFill>
            <a:ln w="19050">
              <a:solidFill>
                <a:srgbClr val="1FBAF2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FFFFFF"/>
                    </a:solidFill>
                  </a:defRPr>
                </a:pPr>
                <a:endParaRPr lang="en-US"/>
              </a:p>
            </txPr>
          </dLbls>
          <marker>
            <symbol val="diamond"/>
            <size val="7"/>
            <spPr>
              <a:solidFill>
                <a:srgbClr val="1FBAF2"/>
              </a:solidFill>
              <a:ln w="19050">
                <a:solidFill>
                  <a:srgbClr val="1FBAF2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'首页+选择功能'!$C$62:$Z$62</f>
            </strRef>
          </cat>
          <val>
            <numRef>
              <f>'首页+选择功能'!$C$65:$Z$65</f>
            </numRef>
          </val>
          <smooth val="true"/>
        </ser>
        <ser>
          <idx val="3"/>
          <order val="3"/>
          <tx>
            <strRef>
              <f>'首页+选择功能'!$B$66</f>
            </strRef>
          </tx>
          <spPr>
            <a:solidFill>
              <a:srgbClr val="F2BF16"/>
            </a:solidFill>
            <a:ln w="19050">
              <a:solidFill>
                <a:srgbClr val="F2BF16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FFFFFF"/>
                    </a:solidFill>
                  </a:defRPr>
                </a:pPr>
                <a:endParaRPr lang="en-US"/>
              </a:p>
            </txPr>
          </dLbls>
          <marker>
            <symbol val="diamond"/>
            <size val="7"/>
            <spPr>
              <a:solidFill>
                <a:srgbClr val="F2BF16"/>
              </a:solidFill>
              <a:ln w="19050">
                <a:solidFill>
                  <a:srgbClr val="F2BF16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'首页+选择功能'!$C$62:$Z$62</f>
            </strRef>
          </cat>
          <val>
            <numRef>
              <f>'首页+选择功能'!$C$66:$Z$66</f>
            </numRef>
          </val>
          <smooth val="tru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true"/>
        <axId val="754001152"/>
        <axId val="753999904"/>
      </lineChart>
      <catAx>
        <axId val="754001152"/>
        <scaling>
          <orientation val="minMax"/>
        </scaling>
        <delete val="false"/>
        <axPos val="b"/>
        <majorGridlines>
          <spPr>
            <a:ln w="9525">
              <a:solidFill>
                <a:srgbClr val="8F959E"/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0" spcFirstLastPara="true" vert="horz" vertOverflow="ellipsis" wrap="square"/>
          <a:p>
            <a:pPr>
              <a:defRPr b="true" baseline="0" i="false" kern="1200" spc="0" strike="noStrike" sz="75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w="9525">
              <a:solidFill>
                <a:srgbClr val="8F959E"/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2700000" spcFirstLastPara="true" vert="horz" vertOverflow="ellipsis" wrap="square"/>
          <a:p>
            <a:pPr>
              <a:defRPr b="true" baseline="0" i="false" kern="1200" spc="0" strike="noStrike" sz="90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t"/>
      <overlay val="false"/>
      <txPr>
        <a:bodyPr anchorCtr="false" rot="0" spcFirstLastPara="false"/>
        <a:p>
          <a:pPr>
            <a:defRPr b="true" baseline="0" i="false" kern="1200" spc="0" strike="noStrike" sz="1400">
              <a:solidFill>
                <a:srgbClr val="FFFFFF"/>
              </a:solidFill>
            </a:defRPr>
          </a:pPr>
          <a:endParaRPr lang="en-US"/>
        </a:p>
      </txPr>
    </legend>
    <plotVisOnly val="true"/>
    <dispBlanksAs val="gap"/>
    <showDLblsOverMax val="false"/>
  </chart>
  <spPr>
    <a:solidFill>
      <a:srgbClr val="373C43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2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>
                <a:solidFill>
                  <a:srgbClr val="FFFFFF"/>
                </a:solidFill>
              </a:rPr>
              <a:t>浮动价格（线损 / 系统运行费）对比（元/kWh）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lineChart>
        <grouping val="standard"/>
        <varyColors val="false"/>
        <ser>
          <idx val="0"/>
          <order val="0"/>
          <tx>
            <strRef>
              <f>'首页+选择功能'!$B$67</f>
            </strRef>
          </tx>
          <spPr>
            <a:solidFill>
              <a:srgbClr val="3B72F2"/>
            </a:solidFill>
            <a:ln w="19050">
              <a:solidFill>
                <a:srgbClr val="3B72F2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FFFFFF"/>
                    </a:solidFill>
                  </a:defRPr>
                </a:pPr>
                <a:endParaRPr lang="en-US"/>
              </a:p>
            </txPr>
          </dLbls>
          <marker>
            <symbol val="diamond"/>
            <size val="7"/>
            <spPr>
              <a:solidFill>
                <a:srgbClr val="3B72F2"/>
              </a:solidFill>
              <a:ln w="19050">
                <a:solidFill>
                  <a:srgbClr val="3B72F2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'首页+选择功能'!$C$62:$Z$62</f>
            </strRef>
          </cat>
          <val>
            <numRef>
              <f>'首页+选择功能'!$C$67:$Z$67</f>
            </numRef>
          </val>
          <smooth val="true"/>
        </ser>
        <ser>
          <idx val="1"/>
          <order val="1"/>
          <tx>
            <strRef>
              <f>'首页+选择功能'!$B$68</f>
            </strRef>
          </tx>
          <spPr>
            <a:solidFill>
              <a:srgbClr val="F2870D"/>
            </a:solidFill>
            <a:ln w="19050">
              <a:solidFill>
                <a:srgbClr val="F2870D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FFFFFF"/>
                    </a:solidFill>
                  </a:defRPr>
                </a:pPr>
                <a:endParaRPr lang="en-US"/>
              </a:p>
            </txPr>
          </dLbls>
          <marker>
            <symbol val="diamond"/>
            <size val="7"/>
            <spPr>
              <a:solidFill>
                <a:srgbClr val="F2870D"/>
              </a:solidFill>
              <a:ln w="19050">
                <a:solidFill>
                  <a:srgbClr val="F2870D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'首页+选择功能'!$C$62:$Z$62</f>
            </strRef>
          </cat>
          <val>
            <numRef>
              <f>'首页+选择功能'!$C$68:$Z$68</f>
            </numRef>
          </val>
          <smooth val="true"/>
        </ser>
        <ser>
          <idx val="2"/>
          <order val="2"/>
          <tx>
            <strRef>
              <f>'首页+选择功能'!$B$69</f>
            </strRef>
          </tx>
          <spPr>
            <a:solidFill>
              <a:srgbClr val="1FBAF2"/>
            </a:solidFill>
            <a:ln w="19050">
              <a:solidFill>
                <a:srgbClr val="1FBAF2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FFFFFF"/>
                    </a:solidFill>
                  </a:defRPr>
                </a:pPr>
                <a:endParaRPr lang="en-US"/>
              </a:p>
            </txPr>
          </dLbls>
          <marker>
            <symbol val="diamond"/>
            <size val="7"/>
            <spPr>
              <a:solidFill>
                <a:srgbClr val="1FBAF2"/>
              </a:solidFill>
              <a:ln w="19050">
                <a:solidFill>
                  <a:srgbClr val="1FBAF2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'首页+选择功能'!$C$62:$Z$62</f>
            </strRef>
          </cat>
          <val>
            <numRef>
              <f>'首页+选择功能'!$C$69:$Z$69</f>
            </numRef>
          </val>
          <smooth val="true"/>
        </ser>
        <ser>
          <idx val="3"/>
          <order val="3"/>
          <tx>
            <strRef>
              <f>'首页+选择功能'!$B$70</f>
            </strRef>
          </tx>
          <spPr>
            <a:solidFill>
              <a:srgbClr val="F2BF16"/>
            </a:solidFill>
            <a:ln w="19050">
              <a:solidFill>
                <a:srgbClr val="F2BF16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FFFFFF"/>
                    </a:solidFill>
                  </a:defRPr>
                </a:pPr>
                <a:endParaRPr lang="en-US"/>
              </a:p>
            </txPr>
          </dLbls>
          <marker>
            <symbol val="diamond"/>
            <size val="7"/>
            <spPr>
              <a:solidFill>
                <a:srgbClr val="F2BF16"/>
              </a:solidFill>
              <a:ln w="19050">
                <a:solidFill>
                  <a:srgbClr val="F2BF16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'首页+选择功能'!$C$62:$Z$62</f>
            </strRef>
          </cat>
          <val>
            <numRef>
              <f>'首页+选择功能'!$C$70:$Z$70</f>
            </numRef>
          </val>
          <smooth val="tru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true"/>
        <axId val="754001152"/>
        <axId val="753999904"/>
      </lineChart>
      <catAx>
        <axId val="754001152"/>
        <scaling>
          <orientation val="minMax"/>
        </scaling>
        <delete val="false"/>
        <axPos val="b"/>
        <majorGridlines>
          <spPr>
            <a:ln w="9525">
              <a:solidFill>
                <a:srgbClr val="8F959E"/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2700000" spcFirstLastPara="true" vert="horz" vertOverflow="ellipsis" wrap="square"/>
          <a:p>
            <a:pPr>
              <a:defRPr b="true" baseline="0" i="false" kern="1200" spc="0" strike="noStrike" sz="75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  <max val="0.13"/>
        </scaling>
        <delete val="false"/>
        <axPos val="l"/>
        <majorGridlines>
          <spPr>
            <a:ln w="9525">
              <a:solidFill>
                <a:srgbClr val="8F959E"/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2700000" spcFirstLastPara="true" vert="horz" vertOverflow="ellipsis" wrap="square"/>
          <a:p>
            <a:pPr>
              <a:defRPr b="true" baseline="0" i="false" kern="1200" spc="0" strike="noStrike" sz="90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t"/>
      <overlay val="false"/>
      <txPr>
        <a:bodyPr anchorCtr="false" rot="0" spcFirstLastPara="false"/>
        <a:p>
          <a:pPr>
            <a:defRPr b="true" baseline="0" i="false" kern="1200" spc="0" strike="noStrike" sz="1400">
              <a:solidFill>
                <a:srgbClr val="FFFFFF"/>
              </a:solidFill>
            </a:defRPr>
          </a:pPr>
          <a:endParaRPr lang="en-US"/>
        </a:p>
      </txPr>
    </legend>
    <plotVisOnly val="true"/>
    <dispBlanksAs val="gap"/>
    <showDLblsOverMax val="false"/>
  </chart>
  <spPr>
    <a:solidFill>
      <a:srgbClr val="373C43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3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>
                <a:solidFill>
                  <a:srgbClr val="FFFFFF"/>
                </a:solidFill>
              </a:rPr>
              <a:t>省间电价对比（元/kWh）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lineChart>
        <grouping val="standard"/>
        <varyColors val="false"/>
        <ser>
          <idx val="0"/>
          <order val="0"/>
          <tx>
            <strRef>
              <f>'首页+选择功能'!$B$102</f>
            </strRef>
          </tx>
          <spPr>
            <a:solidFill>
              <a:srgbClr val="3B72F2"/>
            </a:solidFill>
            <a:ln w="19050">
              <a:solidFill>
                <a:srgbClr val="3B72F2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750">
                    <a:solidFill>
                      <a:srgbClr val="FFFFFF"/>
                    </a:solidFill>
                  </a:defRPr>
                </a:pPr>
                <a:endParaRPr lang="en-US"/>
              </a:p>
            </txPr>
            <dLblPos val="t"/>
          </dLbls>
          <marker>
            <symbol val="diamond"/>
            <size val="7"/>
            <spPr>
              <a:solidFill>
                <a:srgbClr val="3B72F2"/>
              </a:solidFill>
              <a:ln w="19050">
                <a:solidFill>
                  <a:srgbClr val="3B72F2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'首页+选择功能'!$C$101:$Z$101</f>
            </strRef>
          </cat>
          <val>
            <numRef>
              <f>'首页+选择功能'!$C$102:$Z$102</f>
            </numRef>
          </val>
          <smooth val="true"/>
        </ser>
        <ser>
          <idx val="1"/>
          <order val="1"/>
          <tx>
            <strRef>
              <f>'首页+选择功能'!$B$103</f>
            </strRef>
          </tx>
          <spPr>
            <a:solidFill>
              <a:srgbClr val="F2870D"/>
            </a:solidFill>
            <a:ln w="19050">
              <a:solidFill>
                <a:srgbClr val="F2870D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750">
                    <a:solidFill>
                      <a:srgbClr val="FFFFFF"/>
                    </a:solidFill>
                  </a:defRPr>
                </a:pPr>
                <a:endParaRPr lang="en-US"/>
              </a:p>
            </txPr>
            <dLblPos val="t"/>
          </dLbls>
          <marker>
            <symbol val="diamond"/>
            <size val="7"/>
            <spPr>
              <a:solidFill>
                <a:srgbClr val="F2870D"/>
              </a:solidFill>
              <a:ln w="19050">
                <a:solidFill>
                  <a:srgbClr val="F2870D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'首页+选择功能'!$C$101:$Z$101</f>
            </strRef>
          </cat>
          <val>
            <numRef>
              <f>'首页+选择功能'!$C$103:$Z$103</f>
            </numRef>
          </val>
          <smooth val="true"/>
        </ser>
        <ser>
          <idx val="2"/>
          <order val="2"/>
          <tx>
            <strRef>
              <f>'首页+选择功能'!$B$104</f>
            </strRef>
          </tx>
          <spPr>
            <a:solidFill>
              <a:srgbClr val="1FBAF2"/>
            </a:solidFill>
            <a:ln w="19050">
              <a:solidFill>
                <a:srgbClr val="1FBAF2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750">
                    <a:solidFill>
                      <a:srgbClr val="FFFFFF"/>
                    </a:solidFill>
                  </a:defRPr>
                </a:pPr>
                <a:endParaRPr lang="en-US"/>
              </a:p>
            </txPr>
            <dLblPos val="t"/>
          </dLbls>
          <marker>
            <symbol val="diamond"/>
            <size val="7"/>
            <spPr>
              <a:solidFill>
                <a:srgbClr val="1FBAF2"/>
              </a:solidFill>
              <a:ln w="19050">
                <a:solidFill>
                  <a:srgbClr val="1FBAF2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'首页+选择功能'!$C$101:$Z$101</f>
            </strRef>
          </cat>
          <val>
            <numRef>
              <f>'首页+选择功能'!$C$104:$Z$104</f>
            </numRef>
          </val>
          <smooth val="true"/>
        </ser>
        <ser>
          <idx val="3"/>
          <order val="3"/>
          <tx>
            <strRef>
              <f>'首页+选择功能'!$B$105</f>
            </strRef>
          </tx>
          <spPr>
            <a:solidFill>
              <a:srgbClr val="F2BF16"/>
            </a:solidFill>
            <a:ln w="19050">
              <a:solidFill>
                <a:srgbClr val="F2BF16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750">
                    <a:solidFill>
                      <a:srgbClr val="FFFFFF"/>
                    </a:solidFill>
                  </a:defRPr>
                </a:pPr>
                <a:endParaRPr lang="en-US"/>
              </a:p>
            </txPr>
            <dLblPos val="t"/>
          </dLbls>
          <marker>
            <symbol val="diamond"/>
            <size val="7"/>
            <spPr>
              <a:solidFill>
                <a:srgbClr val="F2BF16"/>
              </a:solidFill>
              <a:ln w="19050">
                <a:solidFill>
                  <a:srgbClr val="F2BF16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'首页+选择功能'!$C$101:$Z$101</f>
            </strRef>
          </cat>
          <val>
            <numRef>
              <f>'首页+选择功能'!$C$105:$Z$105</f>
            </numRef>
          </val>
          <smooth val="true"/>
        </ser>
        <ser>
          <idx val="4"/>
          <order val="4"/>
          <tx>
            <strRef>
              <f>'首页+选择功能'!$B$106</f>
            </strRef>
          </tx>
          <spPr>
            <a:solidFill>
              <a:srgbClr val="3CC02D"/>
            </a:solidFill>
            <a:ln w="19050">
              <a:solidFill>
                <a:srgbClr val="3CC02D">
                  <a:alpha val="100000"/>
                </a:srgbClr>
              </a:solidFill>
              <a:prstDash val="solid"/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750">
                    <a:solidFill>
                      <a:srgbClr val="FFFFFF"/>
                    </a:solidFill>
                  </a:defRPr>
                </a:pPr>
                <a:endParaRPr lang="en-US"/>
              </a:p>
            </txPr>
            <dLblPos val="t"/>
          </dLbls>
          <marker>
            <symbol val="diamond"/>
            <size val="7"/>
            <spPr>
              <a:solidFill>
                <a:srgbClr val="3CC02D"/>
              </a:solidFill>
              <a:ln w="19050">
                <a:solidFill>
                  <a:srgbClr val="3CC02D">
                    <a:alpha val="100000"/>
                  </a:srgbClr>
                </a:solidFill>
              </a:ln>
            </spPr>
          </marker>
          <invertIfNegative val="false"/>
          <cat>
            <strRef>
              <f>'首页+选择功能'!$C$101:$Z$101</f>
            </strRef>
          </cat>
          <val>
            <numRef>
              <f>'首页+选择功能'!$C$106:$Z$106</f>
            </numRef>
          </val>
          <smooth val="tru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smooth val="true"/>
        <axId val="754001152"/>
        <axId val="753999904"/>
      </lineChart>
      <catAx>
        <axId val="754001152"/>
        <scaling>
          <orientation val="minMax"/>
        </scaling>
        <delete val="false"/>
        <axPos val="b"/>
        <majorGridlines>
          <spPr>
            <a:ln w="9525">
              <a:solidFill>
                <a:srgbClr val="8F959E"/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0" spcFirstLastPara="true" vert="horz" vertOverflow="ellipsis" wrap="square"/>
          <a:p>
            <a:pPr>
              <a:defRPr b="true" baseline="0" i="false" kern="1200" spc="0" strike="noStrike" sz="75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  <min val="0.4"/>
        </scaling>
        <delete val="false"/>
        <axPos val="l"/>
        <majorGridlines>
          <spPr>
            <a:ln w="9525">
              <a:solidFill>
                <a:srgbClr val="8F959E"/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2700000" spcFirstLastPara="true" vert="horz" vertOverflow="ellipsis" wrap="square"/>
          <a:p>
            <a:pPr>
              <a:defRPr b="true" baseline="0" i="false" kern="1200" spc="0" strike="noStrike" sz="90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t"/>
      <overlay val="false"/>
      <txPr>
        <a:bodyPr anchorCtr="false" rot="0" spcFirstLastPara="false"/>
        <a:p>
          <a:pPr>
            <a:defRPr b="true" baseline="0" i="false" kern="1200" spc="0" strike="noStrike" sz="1400">
              <a:solidFill>
                <a:srgbClr val="FFFFFF"/>
              </a:solidFill>
            </a:defRPr>
          </a:pPr>
          <a:endParaRPr lang="en-US"/>
        </a:p>
      </txPr>
    </legend>
    <plotVisOnly val="true"/>
    <dispBlanksAs val="gap"/>
    <showDLblsOverMax val="false"/>
  </chart>
  <spPr>
    <a:solidFill>
      <a:srgbClr val="373C43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Relationship Id="rId2" Target="../charts/chart2.xml" Type="http://schemas.openxmlformats.org/officeDocument/2006/relationships/chart"></Relationship><Relationship Id="rId3" Target="../charts/chart3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66675</xdr:colOff>
      <xdr:row>14</xdr:row>
      <xdr:rowOff>123825</xdr:rowOff>
    </xdr:from>
    <xdr:to>
      <xdr:col>15</xdr:col>
      <xdr:colOff>476250</xdr:colOff>
      <xdr:row>31</xdr:row>
      <xdr:rowOff>219075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  <xdr:twoCellAnchor>
    <xdr:from>
      <xdr:col>0</xdr:col>
      <xdr:colOff>66675</xdr:colOff>
      <xdr:row>42</xdr:row>
      <xdr:rowOff>85725</xdr:rowOff>
    </xdr:from>
    <xdr:to>
      <xdr:col>15</xdr:col>
      <xdr:colOff>476250</xdr:colOff>
      <xdr:row>59</xdr:row>
      <xdr:rowOff>180975</xdr:rowOff>
    </xdr:to>
    <xdr:graphicFrame macro="">
      <xdr:nvGraphicFramePr>
        <xdr:cNvPr id="3" name="Chart 3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false" fPrintsWithSheet="true"/>
  </xdr:twoCellAnchor>
  <xdr:twoCellAnchor>
    <xdr:from>
      <xdr:col>0</xdr:col>
      <xdr:colOff>66675</xdr:colOff>
      <xdr:row>81</xdr:row>
      <xdr:rowOff>104775</xdr:rowOff>
    </xdr:from>
    <xdr:to>
      <xdr:col>15</xdr:col>
      <xdr:colOff>476250</xdr:colOff>
      <xdr:row>98</xdr:row>
      <xdr:rowOff>200025</xdr:rowOff>
    </xdr:to>
    <xdr:graphicFrame macro="">
      <xdr:nvGraphicFramePr>
        <xdr:cNvPr id="4" name="Chart 4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245bdb"/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26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5" min="15" style="0" width="13"/>
    <col collapsed="false" customWidth="true" hidden="false" max="16" min="16" style="0" width="13"/>
    <col collapsed="false" customWidth="true" hidden="false" max="17" min="17" style="0" width="13"/>
    <col collapsed="false" customWidth="true" hidden="false" max="18" min="18" style="0" width="13"/>
    <col collapsed="false" customWidth="true" hidden="false" max="19" min="19" style="0" width="13"/>
    <col collapsed="false" customWidth="true" hidden="false" max="20" min="20" style="0" width="13"/>
    <col collapsed="false" customWidth="true" hidden="false" max="21" min="21" style="0" width="13"/>
    <col collapsed="false" customWidth="true" hidden="false" max="22" min="22" style="0" width="13"/>
    <col collapsed="false" customWidth="true" hidden="false" max="23" min="23" style="0" width="13"/>
    <col collapsed="false" customWidth="true" hidden="false" max="24" min="24" style="0" width="13"/>
    <col collapsed="false" customWidth="true" hidden="false" max="25" min="25" style="0" width="13"/>
    <col collapsed="false" customWidth="true" hidden="false" max="26" min="26" style="0" width="13"/>
  </cols>
  <sheetData>
    <row customHeight="true" ht="36" r="1">
      <c r="A1" s="20"/>
      <c r="B1" s="22" t="str">
        <v>省份按月电价查询</v>
      </c>
    </row>
    <row customHeight="true" ht="19" r="2">
      <c r="A2" s="20" t="str">
        <v>省份</v>
      </c>
      <c r="B2" s="20" t="str">
        <v>江苏</v>
      </c>
    </row>
    <row customHeight="true" ht="19" r="3">
      <c r="A3" s="20" t="str">
        <v>月份</v>
      </c>
      <c r="B3" s="20" t="str">
        <v>年均</v>
      </c>
    </row>
    <row customHeight="true" ht="19" r="4">
      <c r="A4" s="23" t="str">
        <v>电压等级</v>
      </c>
      <c r="B4" s="20" t="str">
        <v>两部制220kV</v>
      </c>
    </row>
    <row r="5">
      <c r="A5" s="20" t="str">
        <v>综合平段电价</v>
      </c>
      <c r="B5" s="20" cm="1">
        <f t="array" ref="B5:B5">_xlfn.XLOOKUP($B$3,$C$6:$O$6,$C$12:$O$12)</f>
      </c>
    </row>
    <row customHeight="true" ht="19" r="6">
      <c r="A6" s="12" t="str">
        <v>序号</v>
      </c>
      <c r="B6" s="11" t="str">
        <v>2026年电价表</v>
      </c>
      <c r="C6" s="10">
        <v>46023</v>
      </c>
      <c r="D6" s="10">
        <v>46054</v>
      </c>
      <c r="E6" s="10">
        <v>46082</v>
      </c>
      <c r="F6" s="10">
        <v>46113</v>
      </c>
      <c r="G6" s="10">
        <v>46143</v>
      </c>
      <c r="H6" s="10">
        <v>46174</v>
      </c>
      <c r="I6" s="10">
        <v>46204</v>
      </c>
      <c r="J6" s="10">
        <v>46235</v>
      </c>
      <c r="K6" s="10">
        <v>46266</v>
      </c>
      <c r="L6" s="10">
        <v>46296</v>
      </c>
      <c r="M6" s="10">
        <v>46327</v>
      </c>
      <c r="N6" s="10">
        <v>46357</v>
      </c>
      <c r="O6" s="12" t="str">
        <v>年均</v>
      </c>
      <c r="P6" s="12" t="str">
        <v>趋势图</v>
      </c>
    </row>
    <row customHeight="true" ht="19" r="7">
      <c r="A7" s="15">
        <v>1</v>
      </c>
      <c r="B7" s="16" t="str">
        <v>代理购电价格</v>
      </c>
      <c r="C7" s="13" cm="1">
        <f t="array" ref="C7:C7">_xlfn.XLOOKUP($B$2&amp;$B7,'总表-2026'!$B$3:'总表-2026'!$B$253&amp;'总表-2026'!$C$3:'总表-2026'!$C$253,'总表-2026'!D$3:'总表-2026'!D$253)</f>
      </c>
      <c r="D7" s="13" cm="1">
        <f t="array" ref="D7:D7">_xlfn.XLOOKUP($B$2&amp;$B7,'总表-2026'!$B$3:'总表-2026'!$B$253&amp;'总表-2026'!$C$3:'总表-2026'!$C$253,'总表-2026'!E$3:'总表-2026'!E$253)</f>
      </c>
      <c r="E7" s="13" cm="1">
        <f t="array" ref="E7:E7">_xlfn.XLOOKUP($B$2&amp;$B7,'总表-2026'!$B$3:'总表-2026'!$B$253&amp;'总表-2026'!$C$3:'总表-2026'!$C$253,'总表-2026'!F$3:'总表-2026'!F$253)</f>
      </c>
      <c r="F7" s="13" cm="1">
        <f t="array" ref="F7:F7">_xlfn.XLOOKUP($B$2&amp;$B7,'总表-2026'!$B$3:'总表-2026'!$B$253&amp;'总表-2026'!$C$3:'总表-2026'!$C$253,'总表-2026'!G$3:'总表-2026'!G$253)</f>
      </c>
      <c r="G7" s="13" cm="1">
        <f t="array" ref="G7:G7">_xlfn.XLOOKUP($B$2&amp;$B7,'总表-2026'!$B$3:'总表-2026'!$B$253&amp;'总表-2026'!$C$3:'总表-2026'!$C$253,'总表-2026'!H$3:'总表-2026'!H$253)</f>
      </c>
      <c r="H7" s="13" cm="1">
        <f t="array" ref="H7:H7">_xlfn.XLOOKUP($B$2&amp;$B7,'总表-2026'!$B$3:'总表-2026'!$B$253&amp;'总表-2026'!$C$3:'总表-2026'!$C$253,'总表-2026'!I$3:'总表-2026'!I$253)</f>
      </c>
      <c r="I7" s="13" cm="1">
        <f t="array" ref="I7:I7">_xlfn.XLOOKUP($B$2&amp;$B7,'总表-2026'!$B$3:'总表-2026'!$B$253&amp;'总表-2026'!$C$3:'总表-2026'!$C$253,'总表-2026'!J$3:'总表-2026'!J$253)</f>
      </c>
      <c r="J7" s="13" cm="1">
        <f t="array" ref="J7:J7">_xlfn.XLOOKUP($B$2&amp;$B7,'总表-2026'!$B$3:'总表-2026'!$B$253&amp;'总表-2026'!$C$3:'总表-2026'!$C$253,'总表-2026'!K$3:'总表-2026'!K$253)</f>
      </c>
      <c r="K7" s="13" cm="1">
        <f t="array" ref="K7:K7">_xlfn.XLOOKUP($B$2&amp;$B7,'总表-2026'!$B$3:'总表-2026'!$B$253&amp;'总表-2026'!$C$3:'总表-2026'!$C$253,'总表-2026'!L$3:'总表-2026'!L$253)</f>
      </c>
      <c r="L7" s="13" cm="1">
        <f t="array" ref="L7:L7">_xlfn.XLOOKUP($B$2&amp;$B7,'总表-2026'!$B$3:'总表-2026'!$B$253&amp;'总表-2026'!$C$3:'总表-2026'!$C$253,'总表-2026'!M$3:'总表-2026'!M$253)</f>
      </c>
      <c r="M7" s="13" cm="1">
        <f t="array" ref="M7:M7">_xlfn.XLOOKUP($B$2&amp;$B7,'总表-2026'!$B$3:'总表-2026'!$B$253&amp;'总表-2026'!$C$3:'总表-2026'!$C$253,'总表-2026'!N$3:'总表-2026'!N$253)</f>
      </c>
      <c r="N7" s="13" cm="1">
        <f t="array" ref="N7:N7">_xlfn.XLOOKUP($B$2&amp;$B7,'总表-2026'!$B$3:'总表-2026'!$B$253&amp;'总表-2026'!$C$3:'总表-2026'!$C$253,'总表-2026'!O$3:'总表-2026'!O$253)</f>
      </c>
      <c r="O7" s="17" cm="1">
        <f t="array" ref="O7:O7">_xlfn.XLOOKUP($B$2&amp;$B7,'总表-2026'!$B$3:'总表-2026'!$B$253&amp;'总表-2026'!$C$3:'总表-2026'!$C$253,'总表-2026'!P$3:'总表-2026'!P$253)</f>
      </c>
      <c r="P7" s="14"/>
    </row>
    <row customHeight="true" ht="19" r="8">
      <c r="A8" s="15">
        <v>2</v>
      </c>
      <c r="B8" s="16" t="str">
        <v>上网环节线损电价</v>
      </c>
      <c r="C8" s="13" cm="1">
        <f t="array" ref="C8:C8">_xlfn.XLOOKUP($B$2&amp;$B8,'总表-2026'!$B$3:'总表-2026'!$B$253&amp;'总表-2026'!$C$3:'总表-2026'!$C$253,'总表-2026'!D$3:'总表-2026'!D$253)</f>
      </c>
      <c r="D8" s="13" cm="1">
        <f t="array" ref="D8:D8">_xlfn.XLOOKUP($B$2&amp;$B8,'总表-2026'!$B$3:'总表-2026'!$B$253&amp;'总表-2026'!$C$3:'总表-2026'!$C$253,'总表-2026'!E$3:'总表-2026'!E$253)</f>
      </c>
      <c r="E8" s="13" cm="1">
        <f t="array" ref="E8:E8">_xlfn.XLOOKUP($B$2&amp;$B8,'总表-2026'!$B$3:'总表-2026'!$B$253&amp;'总表-2026'!$C$3:'总表-2026'!$C$253,'总表-2026'!F$3:'总表-2026'!F$253)</f>
      </c>
      <c r="F8" s="13" cm="1">
        <f t="array" ref="F8:F8">_xlfn.XLOOKUP($B$2&amp;$B8,'总表-2026'!$B$3:'总表-2026'!$B$253&amp;'总表-2026'!$C$3:'总表-2026'!$C$253,'总表-2026'!G$3:'总表-2026'!G$253)</f>
      </c>
      <c r="G8" s="13" cm="1">
        <f t="array" ref="G8:G8">_xlfn.XLOOKUP($B$2&amp;$B8,'总表-2026'!$B$3:'总表-2026'!$B$253&amp;'总表-2026'!$C$3:'总表-2026'!$C$253,'总表-2026'!H$3:'总表-2026'!H$253)</f>
      </c>
      <c r="H8" s="13" cm="1">
        <f t="array" ref="H8:H8">_xlfn.XLOOKUP($B$2&amp;$B8,'总表-2026'!$B$3:'总表-2026'!$B$253&amp;'总表-2026'!$C$3:'总表-2026'!$C$253,'总表-2026'!I$3:'总表-2026'!I$253)</f>
      </c>
      <c r="I8" s="13" cm="1">
        <f t="array" ref="I8:I8">_xlfn.XLOOKUP($B$2&amp;$B8,'总表-2026'!$B$3:'总表-2026'!$B$253&amp;'总表-2026'!$C$3:'总表-2026'!$C$253,'总表-2026'!J$3:'总表-2026'!J$253)</f>
      </c>
      <c r="J8" s="13" cm="1">
        <f t="array" ref="J8:J8">_xlfn.XLOOKUP($B$2&amp;$B8,'总表-2026'!$B$3:'总表-2026'!$B$253&amp;'总表-2026'!$C$3:'总表-2026'!$C$253,'总表-2026'!K$3:'总表-2026'!K$253)</f>
      </c>
      <c r="K8" s="13" cm="1">
        <f t="array" ref="K8:K8">_xlfn.XLOOKUP($B$2&amp;$B8,'总表-2026'!$B$3:'总表-2026'!$B$253&amp;'总表-2026'!$C$3:'总表-2026'!$C$253,'总表-2026'!L$3:'总表-2026'!L$253)</f>
      </c>
      <c r="L8" s="13" cm="1">
        <f t="array" ref="L8:L8">_xlfn.XLOOKUP($B$2&amp;$B8,'总表-2026'!$B$3:'总表-2026'!$B$253&amp;'总表-2026'!$C$3:'总表-2026'!$C$253,'总表-2026'!M$3:'总表-2026'!M$253)</f>
      </c>
      <c r="M8" s="13" cm="1">
        <f t="array" ref="M8:M8">_xlfn.XLOOKUP($B$2&amp;$B8,'总表-2026'!$B$3:'总表-2026'!$B$253&amp;'总表-2026'!$C$3:'总表-2026'!$C$253,'总表-2026'!N$3:'总表-2026'!N$253)</f>
      </c>
      <c r="N8" s="13" cm="1">
        <f t="array" ref="N8:N8">_xlfn.XLOOKUP($B$2&amp;$B8,'总表-2026'!$B$3:'总表-2026'!$B$253&amp;'总表-2026'!$C$3:'总表-2026'!$C$253,'总表-2026'!O$3:'总表-2026'!O$253)</f>
      </c>
      <c r="O8" s="17" cm="1">
        <f t="array" ref="O8:O8">_xlfn.XLOOKUP($B$2&amp;$B8,'总表-2026'!$B$3:'总表-2026'!$B$253&amp;'总表-2026'!$C$3:'总表-2026'!$C$253,'总表-2026'!P$3:'总表-2026'!P$253)</f>
      </c>
      <c r="P8" s="14"/>
    </row>
    <row r="9">
      <c r="A9" s="15">
        <v>3</v>
      </c>
      <c r="B9" s="16" t="str">
        <v>电度输配电价</v>
      </c>
      <c r="C9" s="13" cm="1">
        <f t="array" ref="C9:C9">_xlfn.XLOOKUP($B$2&amp;$B9,'总表-2026'!$B$3:'总表-2026'!$B$253&amp;'总表-2026'!$C$3:'总表-2026'!$C$253,'总表-2026'!D$3:'总表-2026'!D$253)</f>
      </c>
      <c r="D9" s="13" cm="1">
        <f t="array" ref="D9:D9">_xlfn.XLOOKUP($B$2&amp;$B9,'总表-2026'!$B$3:'总表-2026'!$B$253&amp;'总表-2026'!$C$3:'总表-2026'!$C$253,'总表-2026'!E$3:'总表-2026'!E$253)</f>
      </c>
      <c r="E9" s="13" cm="1">
        <f t="array" ref="E9:E9">_xlfn.XLOOKUP($B$2&amp;$B9,'总表-2026'!$B$3:'总表-2026'!$B$253&amp;'总表-2026'!$C$3:'总表-2026'!$C$253,'总表-2026'!F$3:'总表-2026'!F$253)</f>
      </c>
      <c r="F9" s="13" cm="1">
        <f t="array" ref="F9:F9">_xlfn.XLOOKUP($B$2&amp;$B9,'总表-2026'!$B$3:'总表-2026'!$B$253&amp;'总表-2026'!$C$3:'总表-2026'!$C$253,'总表-2026'!G$3:'总表-2026'!G$253)</f>
      </c>
      <c r="G9" s="13" cm="1">
        <f t="array" ref="G9:G9">_xlfn.XLOOKUP($B$2&amp;$B9,'总表-2026'!$B$3:'总表-2026'!$B$253&amp;'总表-2026'!$C$3:'总表-2026'!$C$253,'总表-2026'!H$3:'总表-2026'!H$253)</f>
      </c>
      <c r="H9" s="13" cm="1">
        <f t="array" ref="H9:H9">_xlfn.XLOOKUP($B$2&amp;$B9,'总表-2026'!$B$3:'总表-2026'!$B$253&amp;'总表-2026'!$C$3:'总表-2026'!$C$253,'总表-2026'!I$3:'总表-2026'!I$253)</f>
      </c>
      <c r="I9" s="13" cm="1">
        <f t="array" ref="I9:I9">_xlfn.XLOOKUP($B$2&amp;$B9,'总表-2026'!$B$3:'总表-2026'!$B$253&amp;'总表-2026'!$C$3:'总表-2026'!$C$253,'总表-2026'!J$3:'总表-2026'!J$253)</f>
      </c>
      <c r="J9" s="13" cm="1">
        <f t="array" ref="J9:J9">_xlfn.XLOOKUP($B$2&amp;$B9,'总表-2026'!$B$3:'总表-2026'!$B$253&amp;'总表-2026'!$C$3:'总表-2026'!$C$253,'总表-2026'!K$3:'总表-2026'!K$253)</f>
      </c>
      <c r="K9" s="13" cm="1">
        <f t="array" ref="K9:K9">_xlfn.XLOOKUP($B$2&amp;$B9,'总表-2026'!$B$3:'总表-2026'!$B$253&amp;'总表-2026'!$C$3:'总表-2026'!$C$253,'总表-2026'!L$3:'总表-2026'!L$253)</f>
      </c>
      <c r="L9" s="13" cm="1">
        <f t="array" ref="L9:L9">_xlfn.XLOOKUP($B$2&amp;$B9,'总表-2026'!$B$3:'总表-2026'!$B$253&amp;'总表-2026'!$C$3:'总表-2026'!$C$253,'总表-2026'!M$3:'总表-2026'!M$253)</f>
      </c>
      <c r="M9" s="13" cm="1">
        <f t="array" ref="M9:M9">_xlfn.XLOOKUP($B$2&amp;$B9,'总表-2026'!$B$3:'总表-2026'!$B$253&amp;'总表-2026'!$C$3:'总表-2026'!$C$253,'总表-2026'!N$3:'总表-2026'!N$253)</f>
      </c>
      <c r="N9" s="13" cm="1">
        <f t="array" ref="N9:N9">_xlfn.XLOOKUP($B$2&amp;$B9,'总表-2026'!$B$3:'总表-2026'!$B$253&amp;'总表-2026'!$C$3:'总表-2026'!$C$253,'总表-2026'!O$3:'总表-2026'!O$253)</f>
      </c>
      <c r="O9" s="17" cm="1">
        <f t="array" ref="O9:O9">_xlfn.XLOOKUP($B$2&amp;$B9,'总表-2026'!$B$3:'总表-2026'!$B$253&amp;'总表-2026'!$C$3:'总表-2026'!$C$253,'总表-2026'!P$3:'总表-2026'!P$253)</f>
      </c>
      <c r="P9" s="14"/>
    </row>
    <row r="10">
      <c r="A10" s="15">
        <v>4</v>
      </c>
      <c r="B10" s="16" t="str">
        <v>政府性基金及附加</v>
      </c>
      <c r="C10" s="13" cm="1">
        <f t="array" ref="C10:C10">_xlfn.XLOOKUP($B$2&amp;$B10,'总表-2026'!$B$3:'总表-2026'!$B$253&amp;'总表-2026'!$C$3:'总表-2026'!$C$253,'总表-2026'!D$3:'总表-2026'!D$253)</f>
      </c>
      <c r="D10" s="13" cm="1">
        <f t="array" ref="D10:D10">_xlfn.XLOOKUP($B$2&amp;$B10,'总表-2026'!$B$3:'总表-2026'!$B$253&amp;'总表-2026'!$C$3:'总表-2026'!$C$253,'总表-2026'!E$3:'总表-2026'!E$253)</f>
      </c>
      <c r="E10" s="13" cm="1">
        <f t="array" ref="E10:E10">_xlfn.XLOOKUP($B$2&amp;$B10,'总表-2026'!$B$3:'总表-2026'!$B$253&amp;'总表-2026'!$C$3:'总表-2026'!$C$253,'总表-2026'!F$3:'总表-2026'!F$253)</f>
      </c>
      <c r="F10" s="13" cm="1">
        <f t="array" ref="F10:F10">_xlfn.XLOOKUP($B$2&amp;$B10,'总表-2026'!$B$3:'总表-2026'!$B$253&amp;'总表-2026'!$C$3:'总表-2026'!$C$253,'总表-2026'!G$3:'总表-2026'!G$253)</f>
      </c>
      <c r="G10" s="13" cm="1">
        <f t="array" ref="G10:G10">_xlfn.XLOOKUP($B$2&amp;$B10,'总表-2026'!$B$3:'总表-2026'!$B$253&amp;'总表-2026'!$C$3:'总表-2026'!$C$253,'总表-2026'!H$3:'总表-2026'!H$253)</f>
      </c>
      <c r="H10" s="13" cm="1">
        <f t="array" ref="H10:H10">_xlfn.XLOOKUP($B$2&amp;$B10,'总表-2026'!$B$3:'总表-2026'!$B$253&amp;'总表-2026'!$C$3:'总表-2026'!$C$253,'总表-2026'!I$3:'总表-2026'!I$253)</f>
      </c>
      <c r="I10" s="13" cm="1">
        <f t="array" ref="I10:I10">_xlfn.XLOOKUP($B$2&amp;$B10,'总表-2026'!$B$3:'总表-2026'!$B$253&amp;'总表-2026'!$C$3:'总表-2026'!$C$253,'总表-2026'!J$3:'总表-2026'!J$253)</f>
      </c>
      <c r="J10" s="13" cm="1">
        <f t="array" ref="J10:J10">_xlfn.XLOOKUP($B$2&amp;$B10,'总表-2026'!$B$3:'总表-2026'!$B$253&amp;'总表-2026'!$C$3:'总表-2026'!$C$253,'总表-2026'!K$3:'总表-2026'!K$253)</f>
      </c>
      <c r="K10" s="13" cm="1">
        <f t="array" ref="K10:K10">_xlfn.XLOOKUP($B$2&amp;$B10,'总表-2026'!$B$3:'总表-2026'!$B$253&amp;'总表-2026'!$C$3:'总表-2026'!$C$253,'总表-2026'!L$3:'总表-2026'!L$253)</f>
      </c>
      <c r="L10" s="13" cm="1">
        <f t="array" ref="L10:L10">_xlfn.XLOOKUP($B$2&amp;$B10,'总表-2026'!$B$3:'总表-2026'!$B$253&amp;'总表-2026'!$C$3:'总表-2026'!$C$253,'总表-2026'!M$3:'总表-2026'!M$253)</f>
      </c>
      <c r="M10" s="13" cm="1">
        <f t="array" ref="M10:M10">_xlfn.XLOOKUP($B$2&amp;$B10,'总表-2026'!$B$3:'总表-2026'!$B$253&amp;'总表-2026'!$C$3:'总表-2026'!$C$253,'总表-2026'!N$3:'总表-2026'!N$253)</f>
      </c>
      <c r="N10" s="13" cm="1">
        <f t="array" ref="N10:N10">_xlfn.XLOOKUP($B$2&amp;$B10,'总表-2026'!$B$3:'总表-2026'!$B$253&amp;'总表-2026'!$C$3:'总表-2026'!$C$253,'总表-2026'!O$3:'总表-2026'!O$253)</f>
      </c>
      <c r="O10" s="17" cm="1">
        <f t="array" ref="O10:O10">_xlfn.XLOOKUP($B$2&amp;$B10,'总表-2026'!$B$3:'总表-2026'!$B$253&amp;'总表-2026'!$C$3:'总表-2026'!$C$253,'总表-2026'!P$3:'总表-2026'!P$253)</f>
      </c>
      <c r="P10" s="14"/>
    </row>
    <row r="11">
      <c r="A11" s="15">
        <v>5</v>
      </c>
      <c r="B11" s="16" t="str">
        <v>系统运行费折价</v>
      </c>
      <c r="C11" s="13" cm="1">
        <f t="array" ref="C11:C11">_xlfn.XLOOKUP($B$2&amp;$B11,'总表-2026'!$B$3:'总表-2026'!$B$253&amp;'总表-2026'!$C$3:'总表-2026'!$C$253,'总表-2026'!D$3:'总表-2026'!D$253)</f>
      </c>
      <c r="D11" s="13" cm="1">
        <f t="array" ref="D11:D11">_xlfn.XLOOKUP($B$2&amp;$B11,'总表-2026'!$B$3:'总表-2026'!$B$253&amp;'总表-2026'!$C$3:'总表-2026'!$C$253,'总表-2026'!E$3:'总表-2026'!E$253)</f>
      </c>
      <c r="E11" s="13" cm="1">
        <f t="array" ref="E11:E11">_xlfn.XLOOKUP($B$2&amp;$B11,'总表-2026'!$B$3:'总表-2026'!$B$253&amp;'总表-2026'!$C$3:'总表-2026'!$C$253,'总表-2026'!F$3:'总表-2026'!F$253)</f>
      </c>
      <c r="F11" s="13" cm="1">
        <f t="array" ref="F11:F11">_xlfn.XLOOKUP($B$2&amp;$B11,'总表-2026'!$B$3:'总表-2026'!$B$253&amp;'总表-2026'!$C$3:'总表-2026'!$C$253,'总表-2026'!G$3:'总表-2026'!G$253)</f>
      </c>
      <c r="G11" s="13" cm="1">
        <f t="array" ref="G11:G11">_xlfn.XLOOKUP($B$2&amp;$B11,'总表-2026'!$B$3:'总表-2026'!$B$253&amp;'总表-2026'!$C$3:'总表-2026'!$C$253,'总表-2026'!H$3:'总表-2026'!H$253)</f>
      </c>
      <c r="H11" s="13" cm="1">
        <f t="array" ref="H11:H11">_xlfn.XLOOKUP($B$2&amp;$B11,'总表-2026'!$B$3:'总表-2026'!$B$253&amp;'总表-2026'!$C$3:'总表-2026'!$C$253,'总表-2026'!I$3:'总表-2026'!I$253)</f>
      </c>
      <c r="I11" s="13" cm="1">
        <f t="array" ref="I11:I11">_xlfn.XLOOKUP($B$2&amp;$B11,'总表-2026'!$B$3:'总表-2026'!$B$253&amp;'总表-2026'!$C$3:'总表-2026'!$C$253,'总表-2026'!J$3:'总表-2026'!J$253)</f>
      </c>
      <c r="J11" s="13" cm="1">
        <f t="array" ref="J11:J11">_xlfn.XLOOKUP($B$2&amp;$B11,'总表-2026'!$B$3:'总表-2026'!$B$253&amp;'总表-2026'!$C$3:'总表-2026'!$C$253,'总表-2026'!K$3:'总表-2026'!K$253)</f>
      </c>
      <c r="K11" s="13" cm="1">
        <f t="array" ref="K11:K11">_xlfn.XLOOKUP($B$2&amp;$B11,'总表-2026'!$B$3:'总表-2026'!$B$253&amp;'总表-2026'!$C$3:'总表-2026'!$C$253,'总表-2026'!L$3:'总表-2026'!L$253)</f>
      </c>
      <c r="L11" s="13" cm="1">
        <f t="array" ref="L11:L11">_xlfn.XLOOKUP($B$2&amp;$B11,'总表-2026'!$B$3:'总表-2026'!$B$253&amp;'总表-2026'!$C$3:'总表-2026'!$C$253,'总表-2026'!M$3:'总表-2026'!M$253)</f>
      </c>
      <c r="M11" s="13" cm="1">
        <f t="array" ref="M11:M11">_xlfn.XLOOKUP($B$2&amp;$B11,'总表-2026'!$B$3:'总表-2026'!$B$253&amp;'总表-2026'!$C$3:'总表-2026'!$C$253,'总表-2026'!N$3:'总表-2026'!N$253)</f>
      </c>
      <c r="N11" s="13" cm="1">
        <f t="array" ref="N11:N11">_xlfn.XLOOKUP($B$2&amp;$B11,'总表-2026'!$B$3:'总表-2026'!$B$253&amp;'总表-2026'!$C$3:'总表-2026'!$C$253,'总表-2026'!O$3:'总表-2026'!O$253)</f>
      </c>
      <c r="O11" s="17" cm="1">
        <f t="array" ref="O11:O11">_xlfn.XLOOKUP($B$2&amp;$B11,'总表-2026'!$B$3:'总表-2026'!$B$253&amp;'总表-2026'!$C$3:'总表-2026'!$C$253,'总表-2026'!P$3:'总表-2026'!P$253)</f>
      </c>
      <c r="P11" s="14"/>
    </row>
    <row r="12">
      <c r="A12" s="8">
        <v>6</v>
      </c>
      <c r="B12" s="7" t="str">
        <v>综合平段电价--电网代购</v>
      </c>
      <c r="C12" s="4" cm="1">
        <f t="array" ref="C12:C12">_xlfn.XLOOKUP($B$2&amp;$B12,'总表-2026'!$B$3:'总表-2026'!$B$253&amp;'总表-2026'!$C$3:'总表-2026'!$C$253,'总表-2026'!D$3:'总表-2026'!D$253)</f>
      </c>
      <c r="D12" s="4" cm="1">
        <f t="array" ref="D12:D12">_xlfn.XLOOKUP($B$2&amp;$B12,'总表-2026'!$B$3:'总表-2026'!$B$253&amp;'总表-2026'!$C$3:'总表-2026'!$C$253,'总表-2026'!E$3:'总表-2026'!E$253)</f>
      </c>
      <c r="E12" s="4" cm="1">
        <f t="array" ref="E12:E12">_xlfn.XLOOKUP($B$2&amp;$B12,'总表-2026'!$B$3:'总表-2026'!$B$253&amp;'总表-2026'!$C$3:'总表-2026'!$C$253,'总表-2026'!F$3:'总表-2026'!F$253)</f>
      </c>
      <c r="F12" s="4" cm="1">
        <f t="array" ref="F12:F12">_xlfn.XLOOKUP($B$2&amp;$B12,'总表-2026'!$B$3:'总表-2026'!$B$253&amp;'总表-2026'!$C$3:'总表-2026'!$C$253,'总表-2026'!G$3:'总表-2026'!G$253)</f>
      </c>
      <c r="G12" s="4" cm="1">
        <f t="array" ref="G12:G12">_xlfn.XLOOKUP($B$2&amp;$B12,'总表-2026'!$B$3:'总表-2026'!$B$253&amp;'总表-2026'!$C$3:'总表-2026'!$C$253,'总表-2026'!H$3:'总表-2026'!H$253)</f>
      </c>
      <c r="H12" s="4" cm="1">
        <f t="array" ref="H12:H12">_xlfn.XLOOKUP($B$2&amp;$B12,'总表-2026'!$B$3:'总表-2026'!$B$253&amp;'总表-2026'!$C$3:'总表-2026'!$C$253,'总表-2026'!I$3:'总表-2026'!I$253)</f>
      </c>
      <c r="I12" s="4" cm="1">
        <f t="array" ref="I12:I12">_xlfn.XLOOKUP($B$2&amp;$B12,'总表-2026'!$B$3:'总表-2026'!$B$253&amp;'总表-2026'!$C$3:'总表-2026'!$C$253,'总表-2026'!J$3:'总表-2026'!J$253)</f>
      </c>
      <c r="J12" s="4" cm="1">
        <f t="array" ref="J12:J12">_xlfn.XLOOKUP($B$2&amp;$B12,'总表-2026'!$B$3:'总表-2026'!$B$253&amp;'总表-2026'!$C$3:'总表-2026'!$C$253,'总表-2026'!K$3:'总表-2026'!K$253)</f>
      </c>
      <c r="K12" s="4" cm="1">
        <f t="array" ref="K12:K12">_xlfn.XLOOKUP($B$2&amp;$B12,'总表-2026'!$B$3:'总表-2026'!$B$253&amp;'总表-2026'!$C$3:'总表-2026'!$C$253,'总表-2026'!L$3:'总表-2026'!L$253)</f>
      </c>
      <c r="L12" s="4" cm="1">
        <f t="array" ref="L12:L12">_xlfn.XLOOKUP($B$2&amp;$B12,'总表-2026'!$B$3:'总表-2026'!$B$253&amp;'总表-2026'!$C$3:'总表-2026'!$C$253,'总表-2026'!M$3:'总表-2026'!M$253)</f>
      </c>
      <c r="M12" s="4" cm="1">
        <f t="array" ref="M12:M12">_xlfn.XLOOKUP($B$2&amp;$B12,'总表-2026'!$B$3:'总表-2026'!$B$253&amp;'总表-2026'!$C$3:'总表-2026'!$C$253,'总表-2026'!N$3:'总表-2026'!N$253)</f>
      </c>
      <c r="N12" s="4" cm="1">
        <f t="array" ref="N12:N12">_xlfn.XLOOKUP($B$2&amp;$B12,'总表-2026'!$B$3:'总表-2026'!$B$253&amp;'总表-2026'!$C$3:'总表-2026'!$C$253,'总表-2026'!O$3:'总表-2026'!O$253)</f>
      </c>
      <c r="O12" s="6" cm="1">
        <f t="array" ref="O12:O12">_xlfn.XLOOKUP($B$2&amp;$B12,'总表-2026'!$B$3:'总表-2026'!$B$253&amp;'总表-2026'!$C$3:'总表-2026'!$C$253,'总表-2026'!P$3:'总表-2026'!P$253)</f>
      </c>
      <c r="P12" s="5"/>
    </row>
    <row r="13">
      <c r="A13" s="15">
        <v>7</v>
      </c>
      <c r="B13" s="16" t="str">
        <v>入市交易购电价格</v>
      </c>
      <c r="C13" s="13" cm="1">
        <f t="array" ref="C13:C13">_xlfn.XLOOKUP($B$2&amp;$B13,'总表-2026'!$B$3:'总表-2026'!$B$253&amp;'总表-2026'!$C$3:'总表-2026'!$C$253,'总表-2026'!D$3:'总表-2026'!D$253)</f>
      </c>
      <c r="D13" s="13" cm="1">
        <f t="array" ref="D13:D13">_xlfn.XLOOKUP($B$2&amp;$B13,'总表-2026'!$B$3:'总表-2026'!$B$253&amp;'总表-2026'!$C$3:'总表-2026'!$C$253,'总表-2026'!E$3:'总表-2026'!E$253)</f>
      </c>
      <c r="E13" s="13" cm="1">
        <f t="array" ref="E13:E13">_xlfn.XLOOKUP($B$2&amp;$B13,'总表-2026'!$B$3:'总表-2026'!$B$253&amp;'总表-2026'!$C$3:'总表-2026'!$C$253,'总表-2026'!F$3:'总表-2026'!F$253)</f>
      </c>
      <c r="F13" s="13" cm="1">
        <f t="array" ref="F13:F13">_xlfn.XLOOKUP($B$2&amp;$B13,'总表-2026'!$B$3:'总表-2026'!$B$253&amp;'总表-2026'!$C$3:'总表-2026'!$C$253,'总表-2026'!G$3:'总表-2026'!G$253)</f>
      </c>
      <c r="G13" s="13" cm="1">
        <f t="array" ref="G13:G13">_xlfn.XLOOKUP($B$2&amp;$B13,'总表-2026'!$B$3:'总表-2026'!$B$253&amp;'总表-2026'!$C$3:'总表-2026'!$C$253,'总表-2026'!H$3:'总表-2026'!H$253)</f>
      </c>
      <c r="H13" s="13" cm="1">
        <f t="array" ref="H13:H13">_xlfn.XLOOKUP($B$2&amp;$B13,'总表-2026'!$B$3:'总表-2026'!$B$253&amp;'总表-2026'!$C$3:'总表-2026'!$C$253,'总表-2026'!I$3:'总表-2026'!I$253)</f>
      </c>
      <c r="I13" s="13" cm="1">
        <f t="array" ref="I13:I13">_xlfn.XLOOKUP($B$2&amp;$B13,'总表-2026'!$B$3:'总表-2026'!$B$253&amp;'总表-2026'!$C$3:'总表-2026'!$C$253,'总表-2026'!J$3:'总表-2026'!J$253)</f>
      </c>
      <c r="J13" s="13" cm="1">
        <f t="array" ref="J13:J13">_xlfn.XLOOKUP($B$2&amp;$B13,'总表-2026'!$B$3:'总表-2026'!$B$253&amp;'总表-2026'!$C$3:'总表-2026'!$C$253,'总表-2026'!K$3:'总表-2026'!K$253)</f>
      </c>
      <c r="K13" s="13" cm="1">
        <f t="array" ref="K13:K13">_xlfn.XLOOKUP($B$2&amp;$B13,'总表-2026'!$B$3:'总表-2026'!$B$253&amp;'总表-2026'!$C$3:'总表-2026'!$C$253,'总表-2026'!L$3:'总表-2026'!L$253)</f>
      </c>
      <c r="L13" s="13" cm="1">
        <f t="array" ref="L13:L13">_xlfn.XLOOKUP($B$2&amp;$B13,'总表-2026'!$B$3:'总表-2026'!$B$253&amp;'总表-2026'!$C$3:'总表-2026'!$C$253,'总表-2026'!M$3:'总表-2026'!M$253)</f>
      </c>
      <c r="M13" s="13" cm="1">
        <f t="array" ref="M13:M13">_xlfn.XLOOKUP($B$2&amp;$B13,'总表-2026'!$B$3:'总表-2026'!$B$253&amp;'总表-2026'!$C$3:'总表-2026'!$C$253,'总表-2026'!N$3:'总表-2026'!N$253)</f>
      </c>
      <c r="N13" s="13" cm="1">
        <f t="array" ref="N13:N13">_xlfn.XLOOKUP($B$2&amp;$B13,'总表-2026'!$B$3:'总表-2026'!$B$253&amp;'总表-2026'!$C$3:'总表-2026'!$C$253,'总表-2026'!O$3:'总表-2026'!O$253)</f>
      </c>
      <c r="O13" s="13" cm="1">
        <f t="array" ref="O13:O13">_xlfn.XLOOKUP($B$2&amp;$B13,'总表-2026'!$B$3:'总表-2026'!$B$253&amp;'总表-2026'!$C$3:'总表-2026'!$C$253,'总表-2026'!P$3:'总表-2026'!P$253)</f>
      </c>
      <c r="P13" s="14"/>
    </row>
    <row r="14">
      <c r="A14" s="30">
        <v>8</v>
      </c>
      <c r="B14" s="27" t="str">
        <v>综合平段电价--入市交易</v>
      </c>
      <c r="C14" s="28" cm="1">
        <f t="array" ref="C14:C14">_xlfn.XLOOKUP($B$2&amp;$B14,'总表-2026'!$B$3:'总表-2026'!$B$253&amp;'总表-2026'!$C$3:'总表-2026'!$C$253,'总表-2026'!D$3:'总表-2026'!D$253)</f>
      </c>
      <c r="D14" s="28" cm="1">
        <f t="array" ref="D14:D14">_xlfn.XLOOKUP($B$2&amp;$B14,'总表-2026'!$B$3:'总表-2026'!$B$253&amp;'总表-2026'!$C$3:'总表-2026'!$C$253,'总表-2026'!E$3:'总表-2026'!E$253)</f>
      </c>
      <c r="E14" s="28" cm="1">
        <f t="array" ref="E14:E14">_xlfn.XLOOKUP($B$2&amp;$B14,'总表-2026'!$B$3:'总表-2026'!$B$253&amp;'总表-2026'!$C$3:'总表-2026'!$C$253,'总表-2026'!F$3:'总表-2026'!F$253)</f>
      </c>
      <c r="F14" s="28" cm="1">
        <f t="array" ref="F14:F14">_xlfn.XLOOKUP($B$2&amp;$B14,'总表-2026'!$B$3:'总表-2026'!$B$253&amp;'总表-2026'!$C$3:'总表-2026'!$C$253,'总表-2026'!G$3:'总表-2026'!G$253)</f>
      </c>
      <c r="G14" s="28" cm="1">
        <f t="array" ref="G14:G14">_xlfn.XLOOKUP($B$2&amp;$B14,'总表-2026'!$B$3:'总表-2026'!$B$253&amp;'总表-2026'!$C$3:'总表-2026'!$C$253,'总表-2026'!H$3:'总表-2026'!H$253)</f>
      </c>
      <c r="H14" s="28" cm="1">
        <f t="array" ref="H14:H14">_xlfn.XLOOKUP($B$2&amp;$B14,'总表-2026'!$B$3:'总表-2026'!$B$253&amp;'总表-2026'!$C$3:'总表-2026'!$C$253,'总表-2026'!I$3:'总表-2026'!I$253)</f>
      </c>
      <c r="I14" s="28" cm="1">
        <f t="array" ref="I14:I14">_xlfn.XLOOKUP($B$2&amp;$B14,'总表-2026'!$B$3:'总表-2026'!$B$253&amp;'总表-2026'!$C$3:'总表-2026'!$C$253,'总表-2026'!J$3:'总表-2026'!J$253)</f>
      </c>
      <c r="J14" s="28" cm="1">
        <f t="array" ref="J14:J14">_xlfn.XLOOKUP($B$2&amp;$B14,'总表-2026'!$B$3:'总表-2026'!$B$253&amp;'总表-2026'!$C$3:'总表-2026'!$C$253,'总表-2026'!K$3:'总表-2026'!K$253)</f>
      </c>
      <c r="K14" s="28" cm="1">
        <f t="array" ref="K14:K14">_xlfn.XLOOKUP($B$2&amp;$B14,'总表-2026'!$B$3:'总表-2026'!$B$253&amp;'总表-2026'!$C$3:'总表-2026'!$C$253,'总表-2026'!L$3:'总表-2026'!L$253)</f>
      </c>
      <c r="L14" s="28" cm="1">
        <f t="array" ref="L14:L14">_xlfn.XLOOKUP($B$2&amp;$B14,'总表-2026'!$B$3:'总表-2026'!$B$253&amp;'总表-2026'!$C$3:'总表-2026'!$C$253,'总表-2026'!M$3:'总表-2026'!M$253)</f>
      </c>
      <c r="M14" s="28" cm="1">
        <f t="array" ref="M14:M14">_xlfn.XLOOKUP($B$2&amp;$B14,'总表-2026'!$B$3:'总表-2026'!$B$253&amp;'总表-2026'!$C$3:'总表-2026'!$C$253,'总表-2026'!N$3:'总表-2026'!N$253)</f>
      </c>
      <c r="N14" s="28" cm="1">
        <f t="array" ref="N14:N14">_xlfn.XLOOKUP($B$2&amp;$B14,'总表-2026'!$B$3:'总表-2026'!$B$253&amp;'总表-2026'!$C$3:'总表-2026'!$C$253,'总表-2026'!O$3:'总表-2026'!O$253)</f>
      </c>
      <c r="O14" s="28" cm="1">
        <f t="array" ref="O14:O14">_xlfn.XLOOKUP($B$2&amp;$B14,'总表-2026'!$B$3:'总表-2026'!$B$253&amp;'总表-2026'!$C$3:'总表-2026'!$C$253,'总表-2026'!P$3:'总表-2026'!P$253)</f>
      </c>
      <c r="P14" s="29"/>
    </row>
    <row r="15">
      <c r="A15" s="3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3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3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3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3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3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3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>
      <c r="A22" s="3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3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A24" s="3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3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A26" s="3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A27" s="3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A28" s="3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>
      <c r="A29" s="3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>
      <c r="A30" s="3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A31" s="3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3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3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A34" s="12" t="str">
        <v>序号</v>
      </c>
      <c r="B34" s="11" t="str">
        <v>2025年电价表</v>
      </c>
      <c r="C34" s="10">
        <v>45658</v>
      </c>
      <c r="D34" s="10">
        <v>45689</v>
      </c>
      <c r="E34" s="10">
        <v>45717</v>
      </c>
      <c r="F34" s="10">
        <v>45748</v>
      </c>
      <c r="G34" s="10">
        <v>45778</v>
      </c>
      <c r="H34" s="10">
        <v>45809</v>
      </c>
      <c r="I34" s="10">
        <v>45839</v>
      </c>
      <c r="J34" s="10">
        <v>45870</v>
      </c>
      <c r="K34" s="10">
        <v>45901</v>
      </c>
      <c r="L34" s="10">
        <v>45931</v>
      </c>
      <c r="M34" s="10">
        <v>45962</v>
      </c>
      <c r="N34" s="10">
        <v>45992</v>
      </c>
      <c r="O34" s="12" t="str">
        <v>年均</v>
      </c>
      <c r="P34" s="12" t="str">
        <v>趋势图</v>
      </c>
    </row>
    <row r="35">
      <c r="A35" s="15">
        <v>1</v>
      </c>
      <c r="B35" s="16" t="str">
        <v>代理购电价格</v>
      </c>
      <c r="C35" s="13" cm="1">
        <f t="array" ref="C35:C35">_xlfn.XLOOKUP($B$2&amp;$B35,'总表-2025'!$B$3:'总表-2025'!$B$253&amp;'总表-2025'!$C$3:'总表-2025'!$C$253,'总表-2025'!D$3:'总表-2025'!D$253)</f>
      </c>
      <c r="D35" s="13" cm="1">
        <f t="array" ref="D35:D35">_xlfn.XLOOKUP($B$2&amp;$B35,'总表-2025'!$B$3:'总表-2025'!$B$253&amp;'总表-2025'!$C$3:'总表-2025'!$C$253,'总表-2025'!E$3:'总表-2025'!E$253)</f>
      </c>
      <c r="E35" s="13" cm="1">
        <f t="array" ref="E35:E35">_xlfn.XLOOKUP($B$2&amp;$B35,'总表-2025'!$B$3:'总表-2025'!$B$253&amp;'总表-2025'!$C$3:'总表-2025'!$C$253,'总表-2025'!F$3:'总表-2025'!F$253)</f>
      </c>
      <c r="F35" s="13" cm="1">
        <f t="array" ref="F35:F35">_xlfn.XLOOKUP($B$2&amp;$B35,'总表-2025'!$B$3:'总表-2025'!$B$253&amp;'总表-2025'!$C$3:'总表-2025'!$C$253,'总表-2025'!G$3:'总表-2025'!G$253)</f>
      </c>
      <c r="G35" s="13" cm="1">
        <f t="array" ref="G35:G35">_xlfn.XLOOKUP($B$2&amp;$B35,'总表-2025'!$B$3:'总表-2025'!$B$253&amp;'总表-2025'!$C$3:'总表-2025'!$C$253,'总表-2025'!H$3:'总表-2025'!H$253)</f>
      </c>
      <c r="H35" s="13" cm="1">
        <f t="array" ref="H35:H35">_xlfn.XLOOKUP($B$2&amp;$B35,'总表-2025'!$B$3:'总表-2025'!$B$253&amp;'总表-2025'!$C$3:'总表-2025'!$C$253,'总表-2025'!I$3:'总表-2025'!I$253)</f>
      </c>
      <c r="I35" s="13" cm="1">
        <f t="array" ref="I35:I35">_xlfn.XLOOKUP($B$2&amp;$B35,'总表-2025'!$B$3:'总表-2025'!$B$253&amp;'总表-2025'!$C$3:'总表-2025'!$C$253,'总表-2025'!J$3:'总表-2025'!J$253)</f>
      </c>
      <c r="J35" s="13" cm="1">
        <f t="array" ref="J35:J35">_xlfn.XLOOKUP($B$2&amp;$B35,'总表-2025'!$B$3:'总表-2025'!$B$253&amp;'总表-2025'!$C$3:'总表-2025'!$C$253,'总表-2025'!K$3:'总表-2025'!K$253)</f>
      </c>
      <c r="K35" s="13" cm="1">
        <f t="array" ref="K35:K35">_xlfn.XLOOKUP($B$2&amp;$B35,'总表-2025'!$B$3:'总表-2025'!$B$253&amp;'总表-2025'!$C$3:'总表-2025'!$C$253,'总表-2025'!L$3:'总表-2025'!L$253)</f>
      </c>
      <c r="L35" s="13" cm="1">
        <f t="array" ref="L35:L35">_xlfn.XLOOKUP($B$2&amp;$B35,'总表-2025'!$B$3:'总表-2025'!$B$253&amp;'总表-2025'!$C$3:'总表-2025'!$C$253,'总表-2025'!M$3:'总表-2025'!M$253)</f>
      </c>
      <c r="M35" s="13" cm="1">
        <f t="array" ref="M35:M35">_xlfn.XLOOKUP($B$2&amp;$B35,'总表-2025'!$B$3:'总表-2025'!$B$253&amp;'总表-2025'!$C$3:'总表-2025'!$C$253,'总表-2025'!N$3:'总表-2025'!N$253)</f>
      </c>
      <c r="N35" s="13" cm="1">
        <f t="array" ref="N35:N35">_xlfn.XLOOKUP($B$2&amp;$B35,'总表-2025'!$B$3:'总表-2025'!$B$253&amp;'总表-2025'!$C$3:'总表-2025'!$C$253,'总表-2025'!O$3:'总表-2025'!O$253)</f>
      </c>
      <c r="O35" s="17" cm="1">
        <f t="array" ref="O35:O35">_xlfn.XLOOKUP($B$2&amp;$B35,'总表-2025'!$B$3:'总表-2025'!$B$253&amp;'总表-2025'!$C$3:'总表-2025'!$C$253,'总表-2025'!P$3:'总表-2025'!P$253)</f>
      </c>
      <c r="P35" s="14"/>
    </row>
    <row r="36">
      <c r="A36" s="15">
        <v>2</v>
      </c>
      <c r="B36" s="16" t="str">
        <v>上网环节线损电价</v>
      </c>
      <c r="C36" s="13" cm="1">
        <f t="array" ref="C36:C36">_xlfn.XLOOKUP($B$2&amp;$B36,'总表-2025'!$B$3:'总表-2025'!$B$253&amp;'总表-2025'!$C$3:'总表-2025'!$C$253,'总表-2025'!D$3:'总表-2025'!D$253)</f>
      </c>
      <c r="D36" s="13" cm="1">
        <f t="array" ref="D36:D36">_xlfn.XLOOKUP($B$2&amp;$B36,'总表-2025'!$B$3:'总表-2025'!$B$253&amp;'总表-2025'!$C$3:'总表-2025'!$C$253,'总表-2025'!E$3:'总表-2025'!E$253)</f>
      </c>
      <c r="E36" s="13" cm="1">
        <f t="array" ref="E36:E36">_xlfn.XLOOKUP($B$2&amp;$B36,'总表-2025'!$B$3:'总表-2025'!$B$253&amp;'总表-2025'!$C$3:'总表-2025'!$C$253,'总表-2025'!F$3:'总表-2025'!F$253)</f>
      </c>
      <c r="F36" s="13" cm="1">
        <f t="array" ref="F36:F36">_xlfn.XLOOKUP($B$2&amp;$B36,'总表-2025'!$B$3:'总表-2025'!$B$253&amp;'总表-2025'!$C$3:'总表-2025'!$C$253,'总表-2025'!G$3:'总表-2025'!G$253)</f>
      </c>
      <c r="G36" s="13" cm="1">
        <f t="array" ref="G36:G36">_xlfn.XLOOKUP($B$2&amp;$B36,'总表-2025'!$B$3:'总表-2025'!$B$253&amp;'总表-2025'!$C$3:'总表-2025'!$C$253,'总表-2025'!H$3:'总表-2025'!H$253)</f>
      </c>
      <c r="H36" s="13" cm="1">
        <f t="array" ref="H36:H36">_xlfn.XLOOKUP($B$2&amp;$B36,'总表-2025'!$B$3:'总表-2025'!$B$253&amp;'总表-2025'!$C$3:'总表-2025'!$C$253,'总表-2025'!I$3:'总表-2025'!I$253)</f>
      </c>
      <c r="I36" s="13" cm="1">
        <f t="array" ref="I36:I36">_xlfn.XLOOKUP($B$2&amp;$B36,'总表-2025'!$B$3:'总表-2025'!$B$253&amp;'总表-2025'!$C$3:'总表-2025'!$C$253,'总表-2025'!J$3:'总表-2025'!J$253)</f>
      </c>
      <c r="J36" s="13" cm="1">
        <f t="array" ref="J36:J36">_xlfn.XLOOKUP($B$2&amp;$B36,'总表-2025'!$B$3:'总表-2025'!$B$253&amp;'总表-2025'!$C$3:'总表-2025'!$C$253,'总表-2025'!K$3:'总表-2025'!K$253)</f>
      </c>
      <c r="K36" s="13" cm="1">
        <f t="array" ref="K36:K36">_xlfn.XLOOKUP($B$2&amp;$B36,'总表-2025'!$B$3:'总表-2025'!$B$253&amp;'总表-2025'!$C$3:'总表-2025'!$C$253,'总表-2025'!L$3:'总表-2025'!L$253)</f>
      </c>
      <c r="L36" s="13" cm="1">
        <f t="array" ref="L36:L36">_xlfn.XLOOKUP($B$2&amp;$B36,'总表-2025'!$B$3:'总表-2025'!$B$253&amp;'总表-2025'!$C$3:'总表-2025'!$C$253,'总表-2025'!M$3:'总表-2025'!M$253)</f>
      </c>
      <c r="M36" s="13" cm="1">
        <f t="array" ref="M36:M36">_xlfn.XLOOKUP($B$2&amp;$B36,'总表-2025'!$B$3:'总表-2025'!$B$253&amp;'总表-2025'!$C$3:'总表-2025'!$C$253,'总表-2025'!N$3:'总表-2025'!N$253)</f>
      </c>
      <c r="N36" s="13" cm="1">
        <f t="array" ref="N36:N36">_xlfn.XLOOKUP($B$2&amp;$B36,'总表-2025'!$B$3:'总表-2025'!$B$253&amp;'总表-2025'!$C$3:'总表-2025'!$C$253,'总表-2025'!O$3:'总表-2025'!O$253)</f>
      </c>
      <c r="O36" s="17" cm="1">
        <f t="array" ref="O36:O36">_xlfn.XLOOKUP($B$2&amp;$B36,'总表-2025'!$B$3:'总表-2025'!$B$253&amp;'总表-2025'!$C$3:'总表-2025'!$C$253,'总表-2025'!P$3:'总表-2025'!P$253)</f>
      </c>
      <c r="P36" s="14"/>
    </row>
    <row r="37">
      <c r="A37" s="15">
        <v>3</v>
      </c>
      <c r="B37" s="16" t="str">
        <v>电度输配电价</v>
      </c>
      <c r="C37" s="13" cm="1">
        <f t="array" ref="C37:C37">_xlfn.XLOOKUP($B$2&amp;$B37,'总表-2025'!$B$3:'总表-2025'!$B$253&amp;'总表-2025'!$C$3:'总表-2025'!$C$253,'总表-2025'!D$3:'总表-2025'!D$253)</f>
      </c>
      <c r="D37" s="13" cm="1">
        <f t="array" ref="D37:D37">_xlfn.XLOOKUP($B$2&amp;$B37,'总表-2025'!$B$3:'总表-2025'!$B$253&amp;'总表-2025'!$C$3:'总表-2025'!$C$253,'总表-2025'!E$3:'总表-2025'!E$253)</f>
      </c>
      <c r="E37" s="13" cm="1">
        <f t="array" ref="E37:E37">_xlfn.XLOOKUP($B$2&amp;$B37,'总表-2025'!$B$3:'总表-2025'!$B$253&amp;'总表-2025'!$C$3:'总表-2025'!$C$253,'总表-2025'!F$3:'总表-2025'!F$253)</f>
      </c>
      <c r="F37" s="13" cm="1">
        <f t="array" ref="F37:F37">_xlfn.XLOOKUP($B$2&amp;$B37,'总表-2025'!$B$3:'总表-2025'!$B$253&amp;'总表-2025'!$C$3:'总表-2025'!$C$253,'总表-2025'!G$3:'总表-2025'!G$253)</f>
      </c>
      <c r="G37" s="13" cm="1">
        <f t="array" ref="G37:G37">_xlfn.XLOOKUP($B$2&amp;$B37,'总表-2025'!$B$3:'总表-2025'!$B$253&amp;'总表-2025'!$C$3:'总表-2025'!$C$253,'总表-2025'!H$3:'总表-2025'!H$253)</f>
      </c>
      <c r="H37" s="13" cm="1">
        <f t="array" ref="H37:H37">_xlfn.XLOOKUP($B$2&amp;$B37,'总表-2025'!$B$3:'总表-2025'!$B$253&amp;'总表-2025'!$C$3:'总表-2025'!$C$253,'总表-2025'!I$3:'总表-2025'!I$253)</f>
      </c>
      <c r="I37" s="13" cm="1">
        <f t="array" ref="I37:I37">_xlfn.XLOOKUP($B$2&amp;$B37,'总表-2025'!$B$3:'总表-2025'!$B$253&amp;'总表-2025'!$C$3:'总表-2025'!$C$253,'总表-2025'!J$3:'总表-2025'!J$253)</f>
      </c>
      <c r="J37" s="13" cm="1">
        <f t="array" ref="J37:J37">_xlfn.XLOOKUP($B$2&amp;$B37,'总表-2025'!$B$3:'总表-2025'!$B$253&amp;'总表-2025'!$C$3:'总表-2025'!$C$253,'总表-2025'!K$3:'总表-2025'!K$253)</f>
      </c>
      <c r="K37" s="13" cm="1">
        <f t="array" ref="K37:K37">_xlfn.XLOOKUP($B$2&amp;$B37,'总表-2025'!$B$3:'总表-2025'!$B$253&amp;'总表-2025'!$C$3:'总表-2025'!$C$253,'总表-2025'!L$3:'总表-2025'!L$253)</f>
      </c>
      <c r="L37" s="13" cm="1">
        <f t="array" ref="L37:L37">_xlfn.XLOOKUP($B$2&amp;$B37,'总表-2025'!$B$3:'总表-2025'!$B$253&amp;'总表-2025'!$C$3:'总表-2025'!$C$253,'总表-2025'!M$3:'总表-2025'!M$253)</f>
      </c>
      <c r="M37" s="13" cm="1">
        <f t="array" ref="M37:M37">_xlfn.XLOOKUP($B$2&amp;$B37,'总表-2025'!$B$3:'总表-2025'!$B$253&amp;'总表-2025'!$C$3:'总表-2025'!$C$253,'总表-2025'!N$3:'总表-2025'!N$253)</f>
      </c>
      <c r="N37" s="13" cm="1">
        <f t="array" ref="N37:N37">_xlfn.XLOOKUP($B$2&amp;$B37,'总表-2025'!$B$3:'总表-2025'!$B$253&amp;'总表-2025'!$C$3:'总表-2025'!$C$253,'总表-2025'!O$3:'总表-2025'!O$253)</f>
      </c>
      <c r="O37" s="17" cm="1">
        <f t="array" ref="O37:O37">_xlfn.XLOOKUP($B$2&amp;$B37,'总表-2025'!$B$3:'总表-2025'!$B$253&amp;'总表-2025'!$C$3:'总表-2025'!$C$253,'总表-2025'!P$3:'总表-2025'!P$253)</f>
      </c>
      <c r="P37" s="14"/>
    </row>
    <row r="38">
      <c r="A38" s="15">
        <v>4</v>
      </c>
      <c r="B38" s="16" t="str">
        <v>政府性基金及附加</v>
      </c>
      <c r="C38" s="13" cm="1">
        <f t="array" ref="C38:C38">_xlfn.XLOOKUP($B$2&amp;$B38,'总表-2025'!$B$3:'总表-2025'!$B$253&amp;'总表-2025'!$C$3:'总表-2025'!$C$253,'总表-2025'!D$3:'总表-2025'!D$253)</f>
      </c>
      <c r="D38" s="13" cm="1">
        <f t="array" ref="D38:D38">_xlfn.XLOOKUP($B$2&amp;$B38,'总表-2025'!$B$3:'总表-2025'!$B$253&amp;'总表-2025'!$C$3:'总表-2025'!$C$253,'总表-2025'!E$3:'总表-2025'!E$253)</f>
      </c>
      <c r="E38" s="13" cm="1">
        <f t="array" ref="E38:E38">_xlfn.XLOOKUP($B$2&amp;$B38,'总表-2025'!$B$3:'总表-2025'!$B$253&amp;'总表-2025'!$C$3:'总表-2025'!$C$253,'总表-2025'!F$3:'总表-2025'!F$253)</f>
      </c>
      <c r="F38" s="13" cm="1">
        <f t="array" ref="F38:F38">_xlfn.XLOOKUP($B$2&amp;$B38,'总表-2025'!$B$3:'总表-2025'!$B$253&amp;'总表-2025'!$C$3:'总表-2025'!$C$253,'总表-2025'!G$3:'总表-2025'!G$253)</f>
      </c>
      <c r="G38" s="13" cm="1">
        <f t="array" ref="G38:G38">_xlfn.XLOOKUP($B$2&amp;$B38,'总表-2025'!$B$3:'总表-2025'!$B$253&amp;'总表-2025'!$C$3:'总表-2025'!$C$253,'总表-2025'!H$3:'总表-2025'!H$253)</f>
      </c>
      <c r="H38" s="13" cm="1">
        <f t="array" ref="H38:H38">_xlfn.XLOOKUP($B$2&amp;$B38,'总表-2025'!$B$3:'总表-2025'!$B$253&amp;'总表-2025'!$C$3:'总表-2025'!$C$253,'总表-2025'!I$3:'总表-2025'!I$253)</f>
      </c>
      <c r="I38" s="13" cm="1">
        <f t="array" ref="I38:I38">_xlfn.XLOOKUP($B$2&amp;$B38,'总表-2025'!$B$3:'总表-2025'!$B$253&amp;'总表-2025'!$C$3:'总表-2025'!$C$253,'总表-2025'!J$3:'总表-2025'!J$253)</f>
      </c>
      <c r="J38" s="13" cm="1">
        <f t="array" ref="J38:J38">_xlfn.XLOOKUP($B$2&amp;$B38,'总表-2025'!$B$3:'总表-2025'!$B$253&amp;'总表-2025'!$C$3:'总表-2025'!$C$253,'总表-2025'!K$3:'总表-2025'!K$253)</f>
      </c>
      <c r="K38" s="13" cm="1">
        <f t="array" ref="K38:K38">_xlfn.XLOOKUP($B$2&amp;$B38,'总表-2025'!$B$3:'总表-2025'!$B$253&amp;'总表-2025'!$C$3:'总表-2025'!$C$253,'总表-2025'!L$3:'总表-2025'!L$253)</f>
      </c>
      <c r="L38" s="13" cm="1">
        <f t="array" ref="L38:L38">_xlfn.XLOOKUP($B$2&amp;$B38,'总表-2025'!$B$3:'总表-2025'!$B$253&amp;'总表-2025'!$C$3:'总表-2025'!$C$253,'总表-2025'!M$3:'总表-2025'!M$253)</f>
      </c>
      <c r="M38" s="13" cm="1">
        <f t="array" ref="M38:M38">_xlfn.XLOOKUP($B$2&amp;$B38,'总表-2025'!$B$3:'总表-2025'!$B$253&amp;'总表-2025'!$C$3:'总表-2025'!$C$253,'总表-2025'!N$3:'总表-2025'!N$253)</f>
      </c>
      <c r="N38" s="13" cm="1">
        <f t="array" ref="N38:N38">_xlfn.XLOOKUP($B$2&amp;$B38,'总表-2025'!$B$3:'总表-2025'!$B$253&amp;'总表-2025'!$C$3:'总表-2025'!$C$253,'总表-2025'!O$3:'总表-2025'!O$253)</f>
      </c>
      <c r="O38" s="17" cm="1">
        <f t="array" ref="O38:O38">_xlfn.XLOOKUP($B$2&amp;$B38,'总表-2025'!$B$3:'总表-2025'!$B$253&amp;'总表-2025'!$C$3:'总表-2025'!$C$253,'总表-2025'!P$3:'总表-2025'!P$253)</f>
      </c>
      <c r="P38" s="14"/>
    </row>
    <row r="39">
      <c r="A39" s="15">
        <v>5</v>
      </c>
      <c r="B39" s="16" t="str">
        <v>系统运行费折价</v>
      </c>
      <c r="C39" s="13" cm="1">
        <f t="array" ref="C39:C39">_xlfn.XLOOKUP($B$2&amp;$B39,'总表-2025'!$B$3:'总表-2025'!$B$253&amp;'总表-2025'!$C$3:'总表-2025'!$C$253,'总表-2025'!D$3:'总表-2025'!D$253)</f>
      </c>
      <c r="D39" s="13" cm="1">
        <f t="array" ref="D39:D39">_xlfn.XLOOKUP($B$2&amp;$B39,'总表-2025'!$B$3:'总表-2025'!$B$253&amp;'总表-2025'!$C$3:'总表-2025'!$C$253,'总表-2025'!E$3:'总表-2025'!E$253)</f>
      </c>
      <c r="E39" s="13" cm="1">
        <f t="array" ref="E39:E39">_xlfn.XLOOKUP($B$2&amp;$B39,'总表-2025'!$B$3:'总表-2025'!$B$253&amp;'总表-2025'!$C$3:'总表-2025'!$C$253,'总表-2025'!F$3:'总表-2025'!F$253)</f>
      </c>
      <c r="F39" s="13" cm="1">
        <f t="array" ref="F39:F39">_xlfn.XLOOKUP($B$2&amp;$B39,'总表-2025'!$B$3:'总表-2025'!$B$253&amp;'总表-2025'!$C$3:'总表-2025'!$C$253,'总表-2025'!G$3:'总表-2025'!G$253)</f>
      </c>
      <c r="G39" s="13" cm="1">
        <f t="array" ref="G39:G39">_xlfn.XLOOKUP($B$2&amp;$B39,'总表-2025'!$B$3:'总表-2025'!$B$253&amp;'总表-2025'!$C$3:'总表-2025'!$C$253,'总表-2025'!H$3:'总表-2025'!H$253)</f>
      </c>
      <c r="H39" s="13" cm="1">
        <f t="array" ref="H39:H39">_xlfn.XLOOKUP($B$2&amp;$B39,'总表-2025'!$B$3:'总表-2025'!$B$253&amp;'总表-2025'!$C$3:'总表-2025'!$C$253,'总表-2025'!I$3:'总表-2025'!I$253)</f>
      </c>
      <c r="I39" s="13" cm="1">
        <f t="array" ref="I39:I39">_xlfn.XLOOKUP($B$2&amp;$B39,'总表-2025'!$B$3:'总表-2025'!$B$253&amp;'总表-2025'!$C$3:'总表-2025'!$C$253,'总表-2025'!J$3:'总表-2025'!J$253)</f>
      </c>
      <c r="J39" s="13" cm="1">
        <f t="array" ref="J39:J39">_xlfn.XLOOKUP($B$2&amp;$B39,'总表-2025'!$B$3:'总表-2025'!$B$253&amp;'总表-2025'!$C$3:'总表-2025'!$C$253,'总表-2025'!K$3:'总表-2025'!K$253)</f>
      </c>
      <c r="K39" s="13" cm="1">
        <f t="array" ref="K39:K39">_xlfn.XLOOKUP($B$2&amp;$B39,'总表-2025'!$B$3:'总表-2025'!$B$253&amp;'总表-2025'!$C$3:'总表-2025'!$C$253,'总表-2025'!L$3:'总表-2025'!L$253)</f>
      </c>
      <c r="L39" s="13" cm="1">
        <f t="array" ref="L39:L39">_xlfn.XLOOKUP($B$2&amp;$B39,'总表-2025'!$B$3:'总表-2025'!$B$253&amp;'总表-2025'!$C$3:'总表-2025'!$C$253,'总表-2025'!M$3:'总表-2025'!M$253)</f>
      </c>
      <c r="M39" s="13" cm="1">
        <f t="array" ref="M39:M39">_xlfn.XLOOKUP($B$2&amp;$B39,'总表-2025'!$B$3:'总表-2025'!$B$253&amp;'总表-2025'!$C$3:'总表-2025'!$C$253,'总表-2025'!N$3:'总表-2025'!N$253)</f>
      </c>
      <c r="N39" s="13" cm="1">
        <f t="array" ref="N39:N39">_xlfn.XLOOKUP($B$2&amp;$B39,'总表-2025'!$B$3:'总表-2025'!$B$253&amp;'总表-2025'!$C$3:'总表-2025'!$C$253,'总表-2025'!O$3:'总表-2025'!O$253)</f>
      </c>
      <c r="O39" s="17" cm="1">
        <f t="array" ref="O39:O39">_xlfn.XLOOKUP($B$2&amp;$B39,'总表-2025'!$B$3:'总表-2025'!$B$253&amp;'总表-2025'!$C$3:'总表-2025'!$C$253,'总表-2025'!P$3:'总表-2025'!P$253)</f>
      </c>
      <c r="P39" s="14"/>
    </row>
    <row r="40">
      <c r="A40" s="8">
        <v>6</v>
      </c>
      <c r="B40" s="7" t="str">
        <v>综合平段电价--电网代购</v>
      </c>
      <c r="C40" s="4" cm="1">
        <f t="array" ref="C40:C40">_xlfn.XLOOKUP($B$2&amp;$B40,'总表-2025'!$B$3:'总表-2025'!$B$253&amp;'总表-2025'!$C$3:'总表-2025'!$C$253,'总表-2025'!D$3:'总表-2025'!D$253)</f>
      </c>
      <c r="D40" s="4" cm="1">
        <f t="array" ref="D40:D40">_xlfn.XLOOKUP($B$2&amp;$B40,'总表-2025'!$B$3:'总表-2025'!$B$253&amp;'总表-2025'!$C$3:'总表-2025'!$C$253,'总表-2025'!E$3:'总表-2025'!E$253)</f>
      </c>
      <c r="E40" s="4" cm="1">
        <f t="array" ref="E40:E40">_xlfn.XLOOKUP($B$2&amp;$B40,'总表-2025'!$B$3:'总表-2025'!$B$253&amp;'总表-2025'!$C$3:'总表-2025'!$C$253,'总表-2025'!F$3:'总表-2025'!F$253)</f>
      </c>
      <c r="F40" s="4" cm="1">
        <f t="array" ref="F40:F40">_xlfn.XLOOKUP($B$2&amp;$B40,'总表-2025'!$B$3:'总表-2025'!$B$253&amp;'总表-2025'!$C$3:'总表-2025'!$C$253,'总表-2025'!G$3:'总表-2025'!G$253)</f>
      </c>
      <c r="G40" s="4" cm="1">
        <f t="array" ref="G40:G40">_xlfn.XLOOKUP($B$2&amp;$B40,'总表-2025'!$B$3:'总表-2025'!$B$253&amp;'总表-2025'!$C$3:'总表-2025'!$C$253,'总表-2025'!H$3:'总表-2025'!H$253)</f>
      </c>
      <c r="H40" s="4" cm="1">
        <f t="array" ref="H40:H40">_xlfn.XLOOKUP($B$2&amp;$B40,'总表-2025'!$B$3:'总表-2025'!$B$253&amp;'总表-2025'!$C$3:'总表-2025'!$C$253,'总表-2025'!I$3:'总表-2025'!I$253)</f>
      </c>
      <c r="I40" s="4" cm="1">
        <f t="array" ref="I40:I40">_xlfn.XLOOKUP($B$2&amp;$B40,'总表-2025'!$B$3:'总表-2025'!$B$253&amp;'总表-2025'!$C$3:'总表-2025'!$C$253,'总表-2025'!J$3:'总表-2025'!J$253)</f>
      </c>
      <c r="J40" s="4" cm="1">
        <f t="array" ref="J40:J40">_xlfn.XLOOKUP($B$2&amp;$B40,'总表-2025'!$B$3:'总表-2025'!$B$253&amp;'总表-2025'!$C$3:'总表-2025'!$C$253,'总表-2025'!K$3:'总表-2025'!K$253)</f>
      </c>
      <c r="K40" s="4" cm="1">
        <f t="array" ref="K40:K40">_xlfn.XLOOKUP($B$2&amp;$B40,'总表-2025'!$B$3:'总表-2025'!$B$253&amp;'总表-2025'!$C$3:'总表-2025'!$C$253,'总表-2025'!L$3:'总表-2025'!L$253)</f>
      </c>
      <c r="L40" s="4" cm="1">
        <f t="array" ref="L40:L40">_xlfn.XLOOKUP($B$2&amp;$B40,'总表-2025'!$B$3:'总表-2025'!$B$253&amp;'总表-2025'!$C$3:'总表-2025'!$C$253,'总表-2025'!M$3:'总表-2025'!M$253)</f>
      </c>
      <c r="M40" s="4" cm="1">
        <f t="array" ref="M40:M40">_xlfn.XLOOKUP($B$2&amp;$B40,'总表-2025'!$B$3:'总表-2025'!$B$253&amp;'总表-2025'!$C$3:'总表-2025'!$C$253,'总表-2025'!N$3:'总表-2025'!N$253)</f>
      </c>
      <c r="N40" s="4" cm="1">
        <f t="array" ref="N40:N40">_xlfn.XLOOKUP($B$2&amp;$B40,'总表-2025'!$B$3:'总表-2025'!$B$253&amp;'总表-2025'!$C$3:'总表-2025'!$C$253,'总表-2025'!O$3:'总表-2025'!O$253)</f>
      </c>
      <c r="O40" s="6" cm="1">
        <f t="array" ref="O40:O40">_xlfn.XLOOKUP($B$2&amp;$B40,'总表-2025'!$B$3:'总表-2025'!$B$253&amp;'总表-2025'!$C$3:'总表-2025'!$C$253,'总表-2025'!P$3:'总表-2025'!P$253)</f>
      </c>
      <c r="P40" s="5"/>
    </row>
    <row r="41">
      <c r="A41" s="15">
        <v>7</v>
      </c>
      <c r="B41" s="16" t="str">
        <v>入市交易购电价格</v>
      </c>
      <c r="C41" s="13" cm="1">
        <f t="array" ref="C41:C41">_xlfn.XLOOKUP($B$2&amp;$B41,'总表-2025'!$B$3:'总表-2025'!$B$253&amp;'总表-2025'!$C$3:'总表-2025'!$C$253,'总表-2025'!D$3:'总表-2025'!D$253)</f>
      </c>
      <c r="D41" s="13" cm="1">
        <f t="array" ref="D41:D41">_xlfn.XLOOKUP($B$2&amp;$B41,'总表-2025'!$B$3:'总表-2025'!$B$253&amp;'总表-2025'!$C$3:'总表-2025'!$C$253,'总表-2025'!E$3:'总表-2025'!E$253)</f>
      </c>
      <c r="E41" s="13" cm="1">
        <f t="array" ref="E41:E41">_xlfn.XLOOKUP($B$2&amp;$B41,'总表-2025'!$B$3:'总表-2025'!$B$253&amp;'总表-2025'!$C$3:'总表-2025'!$C$253,'总表-2025'!F$3:'总表-2025'!F$253)</f>
      </c>
      <c r="F41" s="13" cm="1">
        <f t="array" ref="F41:F41">_xlfn.XLOOKUP($B$2&amp;$B41,'总表-2025'!$B$3:'总表-2025'!$B$253&amp;'总表-2025'!$C$3:'总表-2025'!$C$253,'总表-2025'!G$3:'总表-2025'!G$253)</f>
      </c>
      <c r="G41" s="13" cm="1">
        <f t="array" ref="G41:G41">_xlfn.XLOOKUP($B$2&amp;$B41,'总表-2025'!$B$3:'总表-2025'!$B$253&amp;'总表-2025'!$C$3:'总表-2025'!$C$253,'总表-2025'!H$3:'总表-2025'!H$253)</f>
      </c>
      <c r="H41" s="13" cm="1">
        <f t="array" ref="H41:H41">_xlfn.XLOOKUP($B$2&amp;$B41,'总表-2025'!$B$3:'总表-2025'!$B$253&amp;'总表-2025'!$C$3:'总表-2025'!$C$253,'总表-2025'!I$3:'总表-2025'!I$253)</f>
      </c>
      <c r="I41" s="13" cm="1">
        <f t="array" ref="I41:I41">_xlfn.XLOOKUP($B$2&amp;$B41,'总表-2025'!$B$3:'总表-2025'!$B$253&amp;'总表-2025'!$C$3:'总表-2025'!$C$253,'总表-2025'!J$3:'总表-2025'!J$253)</f>
      </c>
      <c r="J41" s="13" cm="1">
        <f t="array" ref="J41:J41">_xlfn.XLOOKUP($B$2&amp;$B41,'总表-2025'!$B$3:'总表-2025'!$B$253&amp;'总表-2025'!$C$3:'总表-2025'!$C$253,'总表-2025'!K$3:'总表-2025'!K$253)</f>
      </c>
      <c r="K41" s="13" cm="1">
        <f t="array" ref="K41:K41">_xlfn.XLOOKUP($B$2&amp;$B41,'总表-2025'!$B$3:'总表-2025'!$B$253&amp;'总表-2025'!$C$3:'总表-2025'!$C$253,'总表-2025'!L$3:'总表-2025'!L$253)</f>
      </c>
      <c r="L41" s="13" cm="1">
        <f t="array" ref="L41:L41">_xlfn.XLOOKUP($B$2&amp;$B41,'总表-2025'!$B$3:'总表-2025'!$B$253&amp;'总表-2025'!$C$3:'总表-2025'!$C$253,'总表-2025'!M$3:'总表-2025'!M$253)</f>
      </c>
      <c r="M41" s="13" cm="1">
        <f t="array" ref="M41:M41">_xlfn.XLOOKUP($B$2&amp;$B41,'总表-2025'!$B$3:'总表-2025'!$B$253&amp;'总表-2025'!$C$3:'总表-2025'!$C$253,'总表-2025'!N$3:'总表-2025'!N$253)</f>
      </c>
      <c r="N41" s="13" cm="1">
        <f t="array" ref="N41:N41">_xlfn.XLOOKUP($B$2&amp;$B41,'总表-2025'!$B$3:'总表-2025'!$B$253&amp;'总表-2025'!$C$3:'总表-2025'!$C$253,'总表-2025'!O$3:'总表-2025'!O$253)</f>
      </c>
      <c r="O41" s="13" cm="1">
        <f t="array" ref="O41:O41">_xlfn.XLOOKUP($B$2&amp;$B41,'总表-2025'!$B$3:'总表-2025'!$B$253&amp;'总表-2025'!$C$3:'总表-2025'!$C$253,'总表-2025'!P$3:'总表-2025'!P$253)</f>
      </c>
      <c r="P41" s="14"/>
    </row>
    <row r="42">
      <c r="A42" s="30">
        <v>8</v>
      </c>
      <c r="B42" s="27" t="str">
        <v>综合平段电价--入市交易</v>
      </c>
      <c r="C42" s="28" cm="1">
        <f t="array" ref="C42:C42">_xlfn.XLOOKUP($B$2&amp;$B42,'总表-2025'!$B$3:'总表-2025'!$B$253&amp;'总表-2025'!$C$3:'总表-2025'!$C$253,'总表-2025'!D$3:'总表-2025'!D$253)</f>
      </c>
      <c r="D42" s="28" cm="1">
        <f t="array" ref="D42:D42">_xlfn.XLOOKUP($B$2&amp;$B42,'总表-2025'!$B$3:'总表-2025'!$B$253&amp;'总表-2025'!$C$3:'总表-2025'!$C$253,'总表-2025'!E$3:'总表-2025'!E$253)</f>
      </c>
      <c r="E42" s="28" cm="1">
        <f t="array" ref="E42:E42">_xlfn.XLOOKUP($B$2&amp;$B42,'总表-2025'!$B$3:'总表-2025'!$B$253&amp;'总表-2025'!$C$3:'总表-2025'!$C$253,'总表-2025'!F$3:'总表-2025'!F$253)</f>
      </c>
      <c r="F42" s="28" cm="1">
        <f t="array" ref="F42:F42">_xlfn.XLOOKUP($B$2&amp;$B42,'总表-2025'!$B$3:'总表-2025'!$B$253&amp;'总表-2025'!$C$3:'总表-2025'!$C$253,'总表-2025'!G$3:'总表-2025'!G$253)</f>
      </c>
      <c r="G42" s="28" cm="1">
        <f t="array" ref="G42:G42">_xlfn.XLOOKUP($B$2&amp;$B42,'总表-2025'!$B$3:'总表-2025'!$B$253&amp;'总表-2025'!$C$3:'总表-2025'!$C$253,'总表-2025'!H$3:'总表-2025'!H$253)</f>
      </c>
      <c r="H42" s="28" cm="1">
        <f t="array" ref="H42:H42">_xlfn.XLOOKUP($B$2&amp;$B42,'总表-2025'!$B$3:'总表-2025'!$B$253&amp;'总表-2025'!$C$3:'总表-2025'!$C$253,'总表-2025'!I$3:'总表-2025'!I$253)</f>
      </c>
      <c r="I42" s="28" cm="1">
        <f t="array" ref="I42:I42">_xlfn.XLOOKUP($B$2&amp;$B42,'总表-2025'!$B$3:'总表-2025'!$B$253&amp;'总表-2025'!$C$3:'总表-2025'!$C$253,'总表-2025'!J$3:'总表-2025'!J$253)</f>
      </c>
      <c r="J42" s="28" cm="1">
        <f t="array" ref="J42:J42">_xlfn.XLOOKUP($B$2&amp;$B42,'总表-2025'!$B$3:'总表-2025'!$B$253&amp;'总表-2025'!$C$3:'总表-2025'!$C$253,'总表-2025'!K$3:'总表-2025'!K$253)</f>
      </c>
      <c r="K42" s="28" cm="1">
        <f t="array" ref="K42:K42">_xlfn.XLOOKUP($B$2&amp;$B42,'总表-2025'!$B$3:'总表-2025'!$B$253&amp;'总表-2025'!$C$3:'总表-2025'!$C$253,'总表-2025'!L$3:'总表-2025'!L$253)</f>
      </c>
      <c r="L42" s="28" cm="1">
        <f t="array" ref="L42:L42">_xlfn.XLOOKUP($B$2&amp;$B42,'总表-2025'!$B$3:'总表-2025'!$B$253&amp;'总表-2025'!$C$3:'总表-2025'!$C$253,'总表-2025'!M$3:'总表-2025'!M$253)</f>
      </c>
      <c r="M42" s="28" cm="1">
        <f t="array" ref="M42:M42">_xlfn.XLOOKUP($B$2&amp;$B42,'总表-2025'!$B$3:'总表-2025'!$B$253&amp;'总表-2025'!$C$3:'总表-2025'!$C$253,'总表-2025'!N$3:'总表-2025'!N$253)</f>
      </c>
      <c r="N42" s="28" cm="1">
        <f t="array" ref="N42:N42">_xlfn.XLOOKUP($B$2&amp;$B42,'总表-2025'!$B$3:'总表-2025'!$B$253&amp;'总表-2025'!$C$3:'总表-2025'!$C$253,'总表-2025'!O$3:'总表-2025'!O$253)</f>
      </c>
      <c r="O42" s="28" cm="1">
        <f t="array" ref="O42:O42">_xlfn.XLOOKUP($B$2&amp;$B42,'总表-2025'!$B$3:'总表-2025'!$B$253&amp;'总表-2025'!$C$3:'总表-2025'!$C$253,'总表-2025'!P$3:'总表-2025'!P$253)</f>
      </c>
      <c r="P42" s="29"/>
    </row>
    <row customHeight="true" ht="19" r="43">
      <c r="A43" s="3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customHeight="true" ht="19" r="44">
      <c r="A44" s="3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customHeight="true" ht="19" r="45">
      <c r="A45" s="3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customHeight="true" ht="19" r="46">
      <c r="A46" s="3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customHeight="true" ht="19" r="47">
      <c r="A47" s="3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customHeight="true" ht="19" r="48">
      <c r="A48" s="3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customHeight="true" ht="19" r="49">
      <c r="A49" s="3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customHeight="true" ht="19" r="50">
      <c r="A50" s="3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customHeight="true" ht="19" r="51">
      <c r="A51" s="3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customHeight="true" ht="19" r="52">
      <c r="A52" s="3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customHeight="true" ht="19" r="53">
      <c r="A53" s="3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customHeight="true" ht="19" r="54">
      <c r="A54" s="3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customHeight="true" ht="19" r="55">
      <c r="A55" s="3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customHeight="true" ht="19" r="56">
      <c r="A56" s="3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customHeight="true" ht="19" r="57">
      <c r="A57" s="3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customHeight="true" ht="19" r="58">
      <c r="A58" s="3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customHeight="true" ht="19" r="59">
      <c r="A59" s="3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customHeight="true" ht="19" r="60">
      <c r="A60" s="3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customHeight="true" ht="19" r="61">
      <c r="A61" s="3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customHeight="true" ht="19" r="62">
      <c r="A62" s="12" t="str">
        <v>序号</v>
      </c>
      <c r="B62" s="11" t="str">
        <v>作图用表</v>
      </c>
      <c r="C62" s="10">
        <v>45658</v>
      </c>
      <c r="D62" s="10">
        <v>45689</v>
      </c>
      <c r="E62" s="10">
        <v>45717</v>
      </c>
      <c r="F62" s="10">
        <v>45748</v>
      </c>
      <c r="G62" s="10">
        <v>45778</v>
      </c>
      <c r="H62" s="10">
        <v>45809</v>
      </c>
      <c r="I62" s="10">
        <v>45839</v>
      </c>
      <c r="J62" s="10">
        <v>45870</v>
      </c>
      <c r="K62" s="10">
        <v>45901</v>
      </c>
      <c r="L62" s="10">
        <v>45931</v>
      </c>
      <c r="M62" s="10">
        <v>45962</v>
      </c>
      <c r="N62" s="10">
        <v>45992</v>
      </c>
      <c r="O62" s="10">
        <v>46023</v>
      </c>
      <c r="P62" s="10">
        <v>46054</v>
      </c>
      <c r="Q62" s="10">
        <v>46082</v>
      </c>
      <c r="R62" s="10">
        <v>46113</v>
      </c>
      <c r="S62" s="10">
        <v>46143</v>
      </c>
      <c r="T62" s="10">
        <v>46174</v>
      </c>
      <c r="U62" s="10">
        <v>46204</v>
      </c>
      <c r="V62" s="10">
        <v>46235</v>
      </c>
      <c r="W62" s="10">
        <v>46266</v>
      </c>
      <c r="X62" s="10">
        <v>46296</v>
      </c>
      <c r="Y62" s="10">
        <v>46327</v>
      </c>
      <c r="Z62" s="10">
        <v>46357</v>
      </c>
    </row>
    <row customHeight="true" ht="19" r="63">
      <c r="A63" s="15">
        <v>1</v>
      </c>
      <c r="B63" s="16" t="str">
        <v>代理购电价格 Y2025</v>
      </c>
      <c r="C63" s="13">
        <f>C35</f>
      </c>
      <c r="D63" s="13">
        <f>D35</f>
      </c>
      <c r="E63" s="13">
        <f>E35</f>
      </c>
      <c r="F63" s="13">
        <f>F35</f>
      </c>
      <c r="G63" s="13">
        <f>G35</f>
      </c>
      <c r="H63" s="13">
        <f>H35</f>
      </c>
      <c r="I63" s="13">
        <f>I35</f>
      </c>
      <c r="J63" s="13">
        <f>J35</f>
      </c>
      <c r="K63" s="13">
        <f>K35</f>
      </c>
      <c r="L63" s="13">
        <f>L35</f>
      </c>
      <c r="M63" s="13">
        <f>M35</f>
      </c>
      <c r="N63" s="13">
        <f>N35</f>
      </c>
      <c r="O63" s="13">
        <f>O64</f>
      </c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customHeight="true" ht="19" r="64">
      <c r="A64" s="15">
        <v>1</v>
      </c>
      <c r="B64" s="16" t="str">
        <v>代理购电价格 Y2026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>
        <f>C7</f>
      </c>
      <c r="P64" s="13">
        <f>D7</f>
      </c>
      <c r="Q64" s="13">
        <f>E7</f>
      </c>
      <c r="R64" s="13">
        <f>F7</f>
      </c>
      <c r="S64" s="13">
        <f>G7</f>
      </c>
      <c r="T64" s="13">
        <f>H7</f>
      </c>
      <c r="U64" s="13">
        <f>I7</f>
      </c>
      <c r="V64" s="13">
        <f>J7</f>
      </c>
      <c r="W64" s="13">
        <f>K7</f>
      </c>
      <c r="X64" s="13">
        <f>L7</f>
      </c>
      <c r="Y64" s="13">
        <f>M7</f>
      </c>
      <c r="Z64" s="13">
        <f>N7</f>
      </c>
    </row>
    <row customHeight="true" ht="19" r="65">
      <c r="A65" s="8">
        <v>2</v>
      </c>
      <c r="B65" s="7" t="str">
        <v>综合平段电价--电网代购 Y2025</v>
      </c>
      <c r="C65" s="4">
        <f>C40</f>
      </c>
      <c r="D65" s="4">
        <f>D40</f>
      </c>
      <c r="E65" s="4">
        <f>E40</f>
      </c>
      <c r="F65" s="4">
        <f>F40</f>
      </c>
      <c r="G65" s="4">
        <f>G40</f>
      </c>
      <c r="H65" s="4">
        <f>H40</f>
      </c>
      <c r="I65" s="4">
        <f>I40</f>
      </c>
      <c r="J65" s="4">
        <f>J40</f>
      </c>
      <c r="K65" s="4">
        <f>K40</f>
      </c>
      <c r="L65" s="4">
        <f>L40</f>
      </c>
      <c r="M65" s="4">
        <f>M40</f>
      </c>
      <c r="N65" s="4">
        <f>N40</f>
      </c>
      <c r="O65" s="4">
        <f>O66</f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customHeight="true" ht="19" r="66">
      <c r="A66" s="8">
        <v>2</v>
      </c>
      <c r="B66" s="7" t="str">
        <v>综合平段电价--电网代购 Y2026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>
        <f>C12</f>
      </c>
      <c r="P66" s="4">
        <f>D12</f>
      </c>
      <c r="Q66" s="4">
        <f>E12</f>
      </c>
      <c r="R66" s="4">
        <f>F12</f>
      </c>
      <c r="S66" s="4">
        <f>G12</f>
      </c>
      <c r="T66" s="4">
        <f>H12</f>
      </c>
      <c r="U66" s="4">
        <f>I12</f>
      </c>
      <c r="V66" s="4">
        <f>J12</f>
      </c>
      <c r="W66" s="4">
        <f>K12</f>
      </c>
      <c r="X66" s="4">
        <f>L12</f>
      </c>
      <c r="Y66" s="4">
        <f>M12</f>
      </c>
      <c r="Z66" s="4">
        <f>N12</f>
      </c>
    </row>
    <row customHeight="true" ht="19" r="67">
      <c r="A67" s="15">
        <v>3</v>
      </c>
      <c r="B67" s="16" t="str">
        <v>上网环节线损电价 Y2025</v>
      </c>
      <c r="C67" s="13">
        <f>C36</f>
      </c>
      <c r="D67" s="13">
        <f>D36</f>
      </c>
      <c r="E67" s="13">
        <f>E36</f>
      </c>
      <c r="F67" s="13">
        <f>F36</f>
      </c>
      <c r="G67" s="13">
        <f>G36</f>
      </c>
      <c r="H67" s="13">
        <f>H36</f>
      </c>
      <c r="I67" s="13">
        <f>I36</f>
      </c>
      <c r="J67" s="13">
        <f>J36</f>
      </c>
      <c r="K67" s="13">
        <f>K36</f>
      </c>
      <c r="L67" s="13">
        <f>L36</f>
      </c>
      <c r="M67" s="13">
        <f>M36</f>
      </c>
      <c r="N67" s="13">
        <f>N36</f>
      </c>
      <c r="O67" s="13">
        <f>C8</f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customHeight="true" ht="19" r="68">
      <c r="A68" s="15">
        <v>3</v>
      </c>
      <c r="B68" s="16" t="str">
        <v>上网环节线损电价 Y2026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>
        <f>C8</f>
      </c>
      <c r="P68" s="13">
        <f>D8</f>
      </c>
      <c r="Q68" s="13">
        <f>E8</f>
      </c>
      <c r="R68" s="13">
        <f>F8</f>
      </c>
      <c r="S68" s="13">
        <f>G8</f>
      </c>
      <c r="T68" s="13">
        <f>H8</f>
      </c>
      <c r="U68" s="13">
        <f>I8</f>
      </c>
      <c r="V68" s="13">
        <f>J8</f>
      </c>
      <c r="W68" s="13">
        <f>K8</f>
      </c>
      <c r="X68" s="13">
        <f>L8</f>
      </c>
      <c r="Y68" s="13">
        <f>M8</f>
      </c>
      <c r="Z68" s="13">
        <f>N8</f>
      </c>
    </row>
    <row customHeight="true" ht="19" r="69">
      <c r="A69" s="15">
        <v>4</v>
      </c>
      <c r="B69" s="16" t="str">
        <v>系统运行费折价 Y2025</v>
      </c>
      <c r="C69" s="13">
        <f>C39</f>
      </c>
      <c r="D69" s="13">
        <f>D39</f>
      </c>
      <c r="E69" s="13">
        <f>E39</f>
      </c>
      <c r="F69" s="13">
        <f>F39</f>
      </c>
      <c r="G69" s="13">
        <f>G39</f>
      </c>
      <c r="H69" s="13">
        <f>H39</f>
      </c>
      <c r="I69" s="13">
        <f>I39</f>
      </c>
      <c r="J69" s="13">
        <f>J39</f>
      </c>
      <c r="K69" s="13">
        <f>K39</f>
      </c>
      <c r="L69" s="13">
        <f>L39</f>
      </c>
      <c r="M69" s="13">
        <f>M39</f>
      </c>
      <c r="N69" s="13">
        <f>N39</f>
      </c>
      <c r="O69" s="13">
        <f>C11</f>
      </c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customHeight="true" ht="19" r="70">
      <c r="A70" s="15">
        <v>4</v>
      </c>
      <c r="B70" s="16" t="str">
        <v>系统运行费折价 Y2026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>
        <f>C11</f>
      </c>
      <c r="P70" s="13">
        <f>D11</f>
      </c>
      <c r="Q70" s="13">
        <f>E11</f>
      </c>
      <c r="R70" s="13">
        <f>F11</f>
      </c>
      <c r="S70" s="13">
        <f>G11</f>
      </c>
      <c r="T70" s="13">
        <f>H11</f>
      </c>
      <c r="U70" s="13">
        <f>I11</f>
      </c>
      <c r="V70" s="13">
        <f>J11</f>
      </c>
      <c r="W70" s="13">
        <f>K11</f>
      </c>
      <c r="X70" s="13">
        <f>L11</f>
      </c>
      <c r="Y70" s="13">
        <f>M11</f>
      </c>
      <c r="Z70" s="13">
        <f>N11</f>
      </c>
    </row>
    <row r="71">
      <c r="A71" s="1"/>
      <c r="B71" s="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customHeight="true" ht="19" r="72">
      <c r="A72" s="1"/>
      <c r="B72" s="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customHeight="true" ht="8" r="73">
      <c r="A73" s="24"/>
      <c r="B73" s="2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1"/>
      <c r="B74" s="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customHeight="true" ht="36" r="75">
      <c r="B75" s="22" t="str">
        <v>省间电价对比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23" t="str">
        <v>电压等级</v>
      </c>
      <c r="B76" s="20" t="str">
        <v>两部制220kV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20" t="str">
        <v>省份1</v>
      </c>
      <c r="B77" s="20" t="str">
        <v>冀北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20" t="str">
        <v>省份2</v>
      </c>
      <c r="B78" s="20" t="str">
        <v>江苏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customHeight="true" ht="19" r="79">
      <c r="A79" s="20" t="str">
        <v>省份3</v>
      </c>
      <c r="B79" s="20" t="str">
        <v>天津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customHeight="true" ht="19" r="80">
      <c r="A80" s="20" t="str">
        <v>省份4</v>
      </c>
      <c r="B80" s="20" t="str">
        <v>蒙西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customHeight="true" ht="19" r="81">
      <c r="A81" s="20" t="str">
        <v>省份5</v>
      </c>
      <c r="B81" s="20" t="str">
        <v>上海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"/>
      <c r="B82" s="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"/>
      <c r="B83" s="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"/>
      <c r="B84" s="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"/>
      <c r="B85" s="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"/>
      <c r="B86" s="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"/>
      <c r="B87" s="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"/>
      <c r="B88" s="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"/>
      <c r="B89" s="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"/>
      <c r="B90" s="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"/>
      <c r="B91" s="2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customHeight="true" ht="19" r="92">
      <c r="A92" s="1"/>
      <c r="B92" s="2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customHeight="true" ht="19" r="93">
      <c r="A93" s="1"/>
      <c r="B93" s="2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customHeight="true" ht="19" r="94">
      <c r="A94" s="1"/>
      <c r="B94" s="2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customHeight="true" ht="19" r="95">
      <c r="A95" s="1"/>
      <c r="B95" s="2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customHeight="true" ht="19" r="96">
      <c r="A96" s="1"/>
      <c r="B96" s="2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customHeight="true" ht="19" r="97">
      <c r="A97" s="1"/>
      <c r="B97" s="2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customHeight="true" ht="19" r="98">
      <c r="A98" s="1"/>
      <c r="B98" s="2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customHeight="true" ht="19" r="99">
      <c r="A99" s="1"/>
      <c r="B99" s="2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"/>
      <c r="B100" s="2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2" t="str">
        <v>序号</v>
      </c>
      <c r="B101" s="11" t="str">
        <v>综合平段--电网代购价</v>
      </c>
      <c r="C101" s="10">
        <v>45658</v>
      </c>
      <c r="D101" s="10">
        <v>45689</v>
      </c>
      <c r="E101" s="10">
        <v>45717</v>
      </c>
      <c r="F101" s="10">
        <v>45748</v>
      </c>
      <c r="G101" s="10">
        <v>45778</v>
      </c>
      <c r="H101" s="10">
        <v>45809</v>
      </c>
      <c r="I101" s="10">
        <v>45839</v>
      </c>
      <c r="J101" s="10">
        <v>45870</v>
      </c>
      <c r="K101" s="10">
        <v>45901</v>
      </c>
      <c r="L101" s="10">
        <v>45931</v>
      </c>
      <c r="M101" s="10">
        <v>45962</v>
      </c>
      <c r="N101" s="10">
        <v>45992</v>
      </c>
      <c r="O101" s="10">
        <v>46023</v>
      </c>
      <c r="P101" s="10">
        <v>46054</v>
      </c>
      <c r="Q101" s="10">
        <v>46082</v>
      </c>
      <c r="R101" s="10">
        <v>46113</v>
      </c>
      <c r="S101" s="10">
        <v>46143</v>
      </c>
      <c r="T101" s="10">
        <v>46174</v>
      </c>
      <c r="U101" s="10">
        <v>46204</v>
      </c>
      <c r="V101" s="10">
        <v>46235</v>
      </c>
      <c r="W101" s="10">
        <v>46266</v>
      </c>
      <c r="X101" s="10">
        <v>46296</v>
      </c>
      <c r="Y101" s="10">
        <v>46327</v>
      </c>
      <c r="Z101" s="10">
        <v>46357</v>
      </c>
    </row>
    <row r="102">
      <c r="A102" s="20" t="str">
        <v>省份1</v>
      </c>
      <c r="B102" s="21">
        <f>B77</f>
      </c>
      <c r="C102" s="19" cm="1">
        <f t="array" ref="C102:C102">_xlfn.XLOOKUP($B102&amp;$B$12,'总表-2025'!$B$3:$B$258&amp;'总表-2025'!$C$3:$C$258,'总表-2025'!D$3:D$258)</f>
      </c>
      <c r="D102" s="19" cm="1">
        <f t="array" ref="D102:D102">_xlfn.XLOOKUP($B102&amp;$B$12,'总表-2025'!$B$3:$B$258&amp;'总表-2025'!$C$3:$C$258,'总表-2025'!E$3:E$258)</f>
      </c>
      <c r="E102" s="19" cm="1">
        <f t="array" ref="E102:E102">_xlfn.XLOOKUP($B102&amp;$B$12,'总表-2025'!$B$3:$B$258&amp;'总表-2025'!$C$3:$C$258,'总表-2025'!F$3:F$258)</f>
      </c>
      <c r="F102" s="19" cm="1">
        <f t="array" ref="F102:F102">_xlfn.XLOOKUP($B102&amp;$B$12,'总表-2025'!$B$3:$B$258&amp;'总表-2025'!$C$3:$C$258,'总表-2025'!G$3:G$258)</f>
      </c>
      <c r="G102" s="19" cm="1">
        <f t="array" ref="G102:G102">_xlfn.XLOOKUP($B102&amp;$B$12,'总表-2025'!$B$3:$B$258&amp;'总表-2025'!$C$3:$C$258,'总表-2025'!H$3:H$258)</f>
      </c>
      <c r="H102" s="19" cm="1">
        <f t="array" ref="H102:H102">_xlfn.XLOOKUP($B102&amp;$B$12,'总表-2025'!$B$3:$B$258&amp;'总表-2025'!$C$3:$C$258,'总表-2025'!I$3:I$258)</f>
      </c>
      <c r="I102" s="19" cm="1">
        <f t="array" ref="I102:I102">_xlfn.XLOOKUP($B102&amp;$B$12,'总表-2025'!$B$3:$B$258&amp;'总表-2025'!$C$3:$C$258,'总表-2025'!J$3:J$258)</f>
      </c>
      <c r="J102" s="19" cm="1">
        <f t="array" ref="J102:J102">_xlfn.XLOOKUP($B102&amp;$B$12,'总表-2025'!$B$3:$B$258&amp;'总表-2025'!$C$3:$C$258,'总表-2025'!K$3:K$258)</f>
      </c>
      <c r="K102" s="19" cm="1">
        <f t="array" ref="K102:K102">_xlfn.XLOOKUP($B102&amp;$B$12,'总表-2025'!$B$3:$B$258&amp;'总表-2025'!$C$3:$C$258,'总表-2025'!L$3:L$258)</f>
      </c>
      <c r="L102" s="19" cm="1">
        <f t="array" ref="L102:L102">_xlfn.XLOOKUP($B102&amp;$B$12,'总表-2025'!$B$3:$B$258&amp;'总表-2025'!$C$3:$C$258,'总表-2025'!M$3:M$258)</f>
      </c>
      <c r="M102" s="19" cm="1">
        <f t="array" ref="M102:M102">_xlfn.XLOOKUP($B102&amp;$B$12,'总表-2025'!$B$3:$B$258&amp;'总表-2025'!$C$3:$C$258,'总表-2025'!N$3:N$258)</f>
      </c>
      <c r="N102" s="19" cm="1">
        <f t="array" ref="N102:N102">_xlfn.XLOOKUP($B102&amp;$B$12,'总表-2025'!$B$3:$B$258&amp;'总表-2025'!$C$3:$C$258,'总表-2025'!O$3:O$258)</f>
      </c>
      <c r="O102" s="18" cm="1">
        <f t="array" ref="O102:O102">_xlfn.XLOOKUP($B102&amp;$B$12,'总表-2026'!$B$3:$B$258&amp;'总表-2026'!$C$3:$C$258,'总表-2026'!D$3:D$258)</f>
      </c>
      <c r="P102" s="18" cm="1">
        <f t="array" ref="P102:P102">_xlfn.XLOOKUP($B102&amp;$B$12,'总表-2026'!$B$3:$B$258&amp;'总表-2026'!$C$3:$C$258,'总表-2026'!E$3:E$258)</f>
      </c>
      <c r="Q102" s="18" cm="1">
        <f t="array" ref="Q102:Q102">_xlfn.XLOOKUP($B102&amp;$B$12,'总表-2026'!$B$3:$B$258&amp;'总表-2026'!$C$3:$C$258,'总表-2026'!F$3:F$258)</f>
      </c>
      <c r="R102" s="18" cm="1">
        <f t="array" ref="R102:R102">_xlfn.XLOOKUP($B102&amp;$B$12,'总表-2026'!$B$3:$B$258&amp;'总表-2026'!$C$3:$C$258,'总表-2026'!G$3:G$258)</f>
      </c>
      <c r="S102" s="18" cm="1">
        <f t="array" ref="S102:S102">_xlfn.XLOOKUP($B102&amp;$B$12,'总表-2026'!$B$3:$B$258&amp;'总表-2026'!$C$3:$C$258,'总表-2026'!H$3:H$258)</f>
      </c>
      <c r="T102" s="18" cm="1">
        <f t="array" ref="T102:T102">_xlfn.XLOOKUP($B102&amp;$B$12,'总表-2026'!$B$3:$B$258&amp;'总表-2026'!$C$3:$C$258,'总表-2026'!I$3:I$258)</f>
      </c>
      <c r="U102" s="18" cm="1">
        <f t="array" ref="U102:U102">_xlfn.XLOOKUP($B102&amp;$B$12,'总表-2026'!$B$3:$B$258&amp;'总表-2026'!$C$3:$C$258,'总表-2026'!J$3:J$258)</f>
      </c>
      <c r="V102" s="18" cm="1">
        <f t="array" ref="V102:V102">_xlfn.XLOOKUP($B102&amp;$B$12,'总表-2026'!$B$3:$B$258&amp;'总表-2026'!$C$3:$C$258,'总表-2026'!K$3:K$258)</f>
      </c>
      <c r="W102" s="18" cm="1">
        <f t="array" ref="W102:W102">_xlfn.XLOOKUP($B102&amp;$B$12,'总表-2026'!$B$3:$B$258&amp;'总表-2026'!$C$3:$C$258,'总表-2026'!L$3:L$258)</f>
      </c>
      <c r="X102" s="18" cm="1">
        <f t="array" ref="X102:X102">_xlfn.XLOOKUP($B102&amp;$B$12,'总表-2026'!$B$3:$B$258&amp;'总表-2026'!$C$3:$C$258,'总表-2026'!M$3:M$258)</f>
      </c>
      <c r="Y102" s="18" cm="1">
        <f t="array" ref="Y102:Y102">_xlfn.XLOOKUP($B102&amp;$B$12,'总表-2026'!$B$3:$B$258&amp;'总表-2026'!$C$3:$C$258,'总表-2026'!N$3:N$258)</f>
      </c>
      <c r="Z102" s="18" cm="1">
        <f t="array" ref="Z102:Z102">_xlfn.XLOOKUP($B102&amp;$B$12,'总表-2026'!$B$3:$B$258&amp;'总表-2026'!$C$3:$C$258,'总表-2026'!O$3:O$258)</f>
      </c>
    </row>
    <row r="103">
      <c r="A103" s="20" t="str">
        <v>省份2</v>
      </c>
      <c r="B103" s="21">
        <f>B78</f>
      </c>
      <c r="C103" s="19" cm="1">
        <f t="array" ref="C103:C103">_xlfn.XLOOKUP($B103&amp;$B$12,'总表-2025'!$B$3:$B$258&amp;'总表-2025'!$C$3:$C$258,'总表-2025'!D$3:D$258)</f>
      </c>
      <c r="D103" s="19" cm="1">
        <f t="array" ref="D103:D103">_xlfn.XLOOKUP($B103&amp;$B$12,'总表-2025'!$B$3:$B$258&amp;'总表-2025'!$C$3:$C$258,'总表-2025'!E$3:E$258)</f>
      </c>
      <c r="E103" s="19" cm="1">
        <f t="array" ref="E103:E103">_xlfn.XLOOKUP($B103&amp;$B$12,'总表-2025'!$B$3:$B$258&amp;'总表-2025'!$C$3:$C$258,'总表-2025'!F$3:F$258)</f>
      </c>
      <c r="F103" s="19" cm="1">
        <f t="array" ref="F103:F103">_xlfn.XLOOKUP($B103&amp;$B$12,'总表-2025'!$B$3:$B$258&amp;'总表-2025'!$C$3:$C$258,'总表-2025'!G$3:G$258)</f>
      </c>
      <c r="G103" s="19" cm="1">
        <f t="array" ref="G103:G103">_xlfn.XLOOKUP($B103&amp;$B$12,'总表-2025'!$B$3:$B$258&amp;'总表-2025'!$C$3:$C$258,'总表-2025'!H$3:H$258)</f>
      </c>
      <c r="H103" s="19" cm="1">
        <f t="array" ref="H103:H103">_xlfn.XLOOKUP($B103&amp;$B$12,'总表-2025'!$B$3:$B$258&amp;'总表-2025'!$C$3:$C$258,'总表-2025'!I$3:I$258)</f>
      </c>
      <c r="I103" s="19" cm="1">
        <f t="array" ref="I103:I103">_xlfn.XLOOKUP($B103&amp;$B$12,'总表-2025'!$B$3:$B$258&amp;'总表-2025'!$C$3:$C$258,'总表-2025'!J$3:J$258)</f>
      </c>
      <c r="J103" s="19" cm="1">
        <f t="array" ref="J103:J103">_xlfn.XLOOKUP($B103&amp;$B$12,'总表-2025'!$B$3:$B$258&amp;'总表-2025'!$C$3:$C$258,'总表-2025'!K$3:K$258)</f>
      </c>
      <c r="K103" s="19" cm="1">
        <f t="array" ref="K103:K103">_xlfn.XLOOKUP($B103&amp;$B$12,'总表-2025'!$B$3:$B$258&amp;'总表-2025'!$C$3:$C$258,'总表-2025'!L$3:L$258)</f>
      </c>
      <c r="L103" s="19" cm="1">
        <f t="array" ref="L103:L103">_xlfn.XLOOKUP($B103&amp;$B$12,'总表-2025'!$B$3:$B$258&amp;'总表-2025'!$C$3:$C$258,'总表-2025'!M$3:M$258)</f>
      </c>
      <c r="M103" s="19" cm="1">
        <f t="array" ref="M103:M103">_xlfn.XLOOKUP($B103&amp;$B$12,'总表-2025'!$B$3:$B$258&amp;'总表-2025'!$C$3:$C$258,'总表-2025'!N$3:N$258)</f>
      </c>
      <c r="N103" s="19" cm="1">
        <f t="array" ref="N103:N103">_xlfn.XLOOKUP($B103&amp;$B$12,'总表-2025'!$B$3:$B$258&amp;'总表-2025'!$C$3:$C$258,'总表-2025'!O$3:O$258)</f>
      </c>
      <c r="O103" s="18" cm="1">
        <f t="array" ref="O103:O103">_xlfn.XLOOKUP($B103&amp;$B$12,'总表-2026'!$B$3:$B$258&amp;'总表-2026'!$C$3:$C$258,'总表-2026'!D$3:D$258)</f>
      </c>
      <c r="P103" s="18" cm="1">
        <f t="array" ref="P103:P103">_xlfn.XLOOKUP($B103&amp;$B$12,'总表-2026'!$B$3:$B$258&amp;'总表-2026'!$C$3:$C$258,'总表-2026'!E$3:E$258)</f>
      </c>
      <c r="Q103" s="18" cm="1">
        <f t="array" ref="Q103:Q103">_xlfn.XLOOKUP($B103&amp;$B$12,'总表-2026'!$B$3:$B$258&amp;'总表-2026'!$C$3:$C$258,'总表-2026'!F$3:F$258)</f>
      </c>
      <c r="R103" s="18" cm="1">
        <f t="array" ref="R103:R103">_xlfn.XLOOKUP($B103&amp;$B$12,'总表-2026'!$B$3:$B$258&amp;'总表-2026'!$C$3:$C$258,'总表-2026'!G$3:G$258)</f>
      </c>
      <c r="S103" s="18" cm="1">
        <f t="array" ref="S103:S103">_xlfn.XLOOKUP($B103&amp;$B$12,'总表-2026'!$B$3:$B$258&amp;'总表-2026'!$C$3:$C$258,'总表-2026'!H$3:H$258)</f>
      </c>
      <c r="T103" s="18" cm="1">
        <f t="array" ref="T103:T103">_xlfn.XLOOKUP($B103&amp;$B$12,'总表-2026'!$B$3:$B$258&amp;'总表-2026'!$C$3:$C$258,'总表-2026'!I$3:I$258)</f>
      </c>
      <c r="U103" s="18" cm="1">
        <f t="array" ref="U103:U103">_xlfn.XLOOKUP($B103&amp;$B$12,'总表-2026'!$B$3:$B$258&amp;'总表-2026'!$C$3:$C$258,'总表-2026'!J$3:J$258)</f>
      </c>
      <c r="V103" s="18" cm="1">
        <f t="array" ref="V103:V103">_xlfn.XLOOKUP($B103&amp;$B$12,'总表-2026'!$B$3:$B$258&amp;'总表-2026'!$C$3:$C$258,'总表-2026'!K$3:K$258)</f>
      </c>
      <c r="W103" s="18" cm="1">
        <f t="array" ref="W103:W103">_xlfn.XLOOKUP($B103&amp;$B$12,'总表-2026'!$B$3:$B$258&amp;'总表-2026'!$C$3:$C$258,'总表-2026'!L$3:L$258)</f>
      </c>
      <c r="X103" s="18" cm="1">
        <f t="array" ref="X103:X103">_xlfn.XLOOKUP($B103&amp;$B$12,'总表-2026'!$B$3:$B$258&amp;'总表-2026'!$C$3:$C$258,'总表-2026'!M$3:M$258)</f>
      </c>
      <c r="Y103" s="18" cm="1">
        <f t="array" ref="Y103:Y103">_xlfn.XLOOKUP($B103&amp;$B$12,'总表-2026'!$B$3:$B$258&amp;'总表-2026'!$C$3:$C$258,'总表-2026'!N$3:N$258)</f>
      </c>
      <c r="Z103" s="18" cm="1">
        <f t="array" ref="Z103:Z103">_xlfn.XLOOKUP($B103&amp;$B$12,'总表-2026'!$B$3:$B$258&amp;'总表-2026'!$C$3:$C$258,'总表-2026'!O$3:O$258)</f>
      </c>
    </row>
    <row r="104">
      <c r="A104" s="20" t="str">
        <v>省份3</v>
      </c>
      <c r="B104" s="21">
        <f>B79</f>
      </c>
      <c r="C104" s="19" cm="1">
        <f t="array" ref="C104:C104">_xlfn.XLOOKUP($B104&amp;$B$12,'总表-2025'!$B$3:$B$258&amp;'总表-2025'!$C$3:$C$258,'总表-2025'!D$3:D$258)</f>
      </c>
      <c r="D104" s="19" cm="1">
        <f t="array" ref="D104:D104">_xlfn.XLOOKUP($B104&amp;$B$12,'总表-2025'!$B$3:$B$258&amp;'总表-2025'!$C$3:$C$258,'总表-2025'!E$3:E$258)</f>
      </c>
      <c r="E104" s="19" cm="1">
        <f t="array" ref="E104:E104">_xlfn.XLOOKUP($B104&amp;$B$12,'总表-2025'!$B$3:$B$258&amp;'总表-2025'!$C$3:$C$258,'总表-2025'!F$3:F$258)</f>
      </c>
      <c r="F104" s="19" cm="1">
        <f t="array" ref="F104:F104">_xlfn.XLOOKUP($B104&amp;$B$12,'总表-2025'!$B$3:$B$258&amp;'总表-2025'!$C$3:$C$258,'总表-2025'!G$3:G$258)</f>
      </c>
      <c r="G104" s="19" cm="1">
        <f t="array" ref="G104:G104">_xlfn.XLOOKUP($B104&amp;$B$12,'总表-2025'!$B$3:$B$258&amp;'总表-2025'!$C$3:$C$258,'总表-2025'!H$3:H$258)</f>
      </c>
      <c r="H104" s="19" cm="1">
        <f t="array" ref="H104:H104">_xlfn.XLOOKUP($B104&amp;$B$12,'总表-2025'!$B$3:$B$258&amp;'总表-2025'!$C$3:$C$258,'总表-2025'!I$3:I$258)</f>
      </c>
      <c r="I104" s="19" cm="1">
        <f t="array" ref="I104:I104">_xlfn.XLOOKUP($B104&amp;$B$12,'总表-2025'!$B$3:$B$258&amp;'总表-2025'!$C$3:$C$258,'总表-2025'!J$3:J$258)</f>
      </c>
      <c r="J104" s="19" cm="1">
        <f t="array" ref="J104:J104">_xlfn.XLOOKUP($B104&amp;$B$12,'总表-2025'!$B$3:$B$258&amp;'总表-2025'!$C$3:$C$258,'总表-2025'!K$3:K$258)</f>
      </c>
      <c r="K104" s="19" cm="1">
        <f t="array" ref="K104:K104">_xlfn.XLOOKUP($B104&amp;$B$12,'总表-2025'!$B$3:$B$258&amp;'总表-2025'!$C$3:$C$258,'总表-2025'!L$3:L$258)</f>
      </c>
      <c r="L104" s="19" cm="1">
        <f t="array" ref="L104:L104">_xlfn.XLOOKUP($B104&amp;$B$12,'总表-2025'!$B$3:$B$258&amp;'总表-2025'!$C$3:$C$258,'总表-2025'!M$3:M$258)</f>
      </c>
      <c r="M104" s="19" cm="1">
        <f t="array" ref="M104:M104">_xlfn.XLOOKUP($B104&amp;$B$12,'总表-2025'!$B$3:$B$258&amp;'总表-2025'!$C$3:$C$258,'总表-2025'!N$3:N$258)</f>
      </c>
      <c r="N104" s="19" cm="1">
        <f t="array" ref="N104:N104">_xlfn.XLOOKUP($B104&amp;$B$12,'总表-2025'!$B$3:$B$258&amp;'总表-2025'!$C$3:$C$258,'总表-2025'!O$3:O$258)</f>
      </c>
      <c r="O104" s="18" cm="1">
        <f t="array" ref="O104:O104">_xlfn.XLOOKUP($B104&amp;$B$12,'总表-2026'!$B$3:$B$258&amp;'总表-2026'!$C$3:$C$258,'总表-2026'!D$3:D$258)</f>
      </c>
      <c r="P104" s="18" cm="1">
        <f t="array" ref="P104:P104">_xlfn.XLOOKUP($B104&amp;$B$12,'总表-2026'!$B$3:$B$258&amp;'总表-2026'!$C$3:$C$258,'总表-2026'!E$3:E$258)</f>
      </c>
      <c r="Q104" s="18" cm="1">
        <f t="array" ref="Q104:Q104">_xlfn.XLOOKUP($B104&amp;$B$12,'总表-2026'!$B$3:$B$258&amp;'总表-2026'!$C$3:$C$258,'总表-2026'!F$3:F$258)</f>
      </c>
      <c r="R104" s="18" cm="1">
        <f t="array" ref="R104:R104">_xlfn.XLOOKUP($B104&amp;$B$12,'总表-2026'!$B$3:$B$258&amp;'总表-2026'!$C$3:$C$258,'总表-2026'!G$3:G$258)</f>
      </c>
      <c r="S104" s="18" cm="1">
        <f t="array" ref="S104:S104">_xlfn.XLOOKUP($B104&amp;$B$12,'总表-2026'!$B$3:$B$258&amp;'总表-2026'!$C$3:$C$258,'总表-2026'!H$3:H$258)</f>
      </c>
      <c r="T104" s="18" cm="1">
        <f t="array" ref="T104:T104">_xlfn.XLOOKUP($B104&amp;$B$12,'总表-2026'!$B$3:$B$258&amp;'总表-2026'!$C$3:$C$258,'总表-2026'!I$3:I$258)</f>
      </c>
      <c r="U104" s="18" cm="1">
        <f t="array" ref="U104:U104">_xlfn.XLOOKUP($B104&amp;$B$12,'总表-2026'!$B$3:$B$258&amp;'总表-2026'!$C$3:$C$258,'总表-2026'!J$3:J$258)</f>
      </c>
      <c r="V104" s="18" cm="1">
        <f t="array" ref="V104:V104">_xlfn.XLOOKUP($B104&amp;$B$12,'总表-2026'!$B$3:$B$258&amp;'总表-2026'!$C$3:$C$258,'总表-2026'!K$3:K$258)</f>
      </c>
      <c r="W104" s="18" cm="1">
        <f t="array" ref="W104:W104">_xlfn.XLOOKUP($B104&amp;$B$12,'总表-2026'!$B$3:$B$258&amp;'总表-2026'!$C$3:$C$258,'总表-2026'!L$3:L$258)</f>
      </c>
      <c r="X104" s="18" cm="1">
        <f t="array" ref="X104:X104">_xlfn.XLOOKUP($B104&amp;$B$12,'总表-2026'!$B$3:$B$258&amp;'总表-2026'!$C$3:$C$258,'总表-2026'!M$3:M$258)</f>
      </c>
      <c r="Y104" s="18" cm="1">
        <f t="array" ref="Y104:Y104">_xlfn.XLOOKUP($B104&amp;$B$12,'总表-2026'!$B$3:$B$258&amp;'总表-2026'!$C$3:$C$258,'总表-2026'!N$3:N$258)</f>
      </c>
      <c r="Z104" s="18" cm="1">
        <f t="array" ref="Z104:Z104">_xlfn.XLOOKUP($B104&amp;$B$12,'总表-2026'!$B$3:$B$258&amp;'总表-2026'!$C$3:$C$258,'总表-2026'!O$3:O$258)</f>
      </c>
    </row>
    <row customHeight="true" ht="19" r="105">
      <c r="A105" s="20" t="str">
        <v>省份4</v>
      </c>
      <c r="B105" s="21">
        <f>B80</f>
      </c>
      <c r="C105" s="19" cm="1">
        <f t="array" ref="C105:C105">_xlfn.XLOOKUP($B105&amp;$B$12,'总表-2025'!$B$3:$B$258&amp;'总表-2025'!$C$3:$C$258,'总表-2025'!D$3:D$258)</f>
      </c>
      <c r="D105" s="19" cm="1">
        <f t="array" ref="D105:D105">_xlfn.XLOOKUP($B105&amp;$B$12,'总表-2025'!$B$3:$B$258&amp;'总表-2025'!$C$3:$C$258,'总表-2025'!E$3:E$258)</f>
      </c>
      <c r="E105" s="19" cm="1">
        <f t="array" ref="E105:E105">_xlfn.XLOOKUP($B105&amp;$B$12,'总表-2025'!$B$3:$B$258&amp;'总表-2025'!$C$3:$C$258,'总表-2025'!F$3:F$258)</f>
      </c>
      <c r="F105" s="19" cm="1">
        <f t="array" ref="F105:F105">_xlfn.XLOOKUP($B105&amp;$B$12,'总表-2025'!$B$3:$B$258&amp;'总表-2025'!$C$3:$C$258,'总表-2025'!G$3:G$258)</f>
      </c>
      <c r="G105" s="19" cm="1">
        <f t="array" ref="G105:G105">_xlfn.XLOOKUP($B105&amp;$B$12,'总表-2025'!$B$3:$B$258&amp;'总表-2025'!$C$3:$C$258,'总表-2025'!H$3:H$258)</f>
      </c>
      <c r="H105" s="19" cm="1">
        <f t="array" ref="H105:H105">_xlfn.XLOOKUP($B105&amp;$B$12,'总表-2025'!$B$3:$B$258&amp;'总表-2025'!$C$3:$C$258,'总表-2025'!I$3:I$258)</f>
      </c>
      <c r="I105" s="19" cm="1">
        <f t="array" ref="I105:I105">_xlfn.XLOOKUP($B105&amp;$B$12,'总表-2025'!$B$3:$B$258&amp;'总表-2025'!$C$3:$C$258,'总表-2025'!J$3:J$258)</f>
      </c>
      <c r="J105" s="19" cm="1">
        <f t="array" ref="J105:J105">_xlfn.XLOOKUP($B105&amp;$B$12,'总表-2025'!$B$3:$B$258&amp;'总表-2025'!$C$3:$C$258,'总表-2025'!K$3:K$258)</f>
      </c>
      <c r="K105" s="19" cm="1">
        <f t="array" ref="K105:K105">_xlfn.XLOOKUP($B105&amp;$B$12,'总表-2025'!$B$3:$B$258&amp;'总表-2025'!$C$3:$C$258,'总表-2025'!L$3:L$258)</f>
      </c>
      <c r="L105" s="19" cm="1">
        <f t="array" ref="L105:L105">_xlfn.XLOOKUP($B105&amp;$B$12,'总表-2025'!$B$3:$B$258&amp;'总表-2025'!$C$3:$C$258,'总表-2025'!M$3:M$258)</f>
      </c>
      <c r="M105" s="19" cm="1">
        <f t="array" ref="M105:M105">_xlfn.XLOOKUP($B105&amp;$B$12,'总表-2025'!$B$3:$B$258&amp;'总表-2025'!$C$3:$C$258,'总表-2025'!N$3:N$258)</f>
      </c>
      <c r="N105" s="19" cm="1">
        <f t="array" ref="N105:N105">_xlfn.XLOOKUP($B105&amp;$B$12,'总表-2025'!$B$3:$B$258&amp;'总表-2025'!$C$3:$C$258,'总表-2025'!O$3:O$258)</f>
      </c>
      <c r="O105" s="18" cm="1">
        <f t="array" ref="O105:O105">_xlfn.XLOOKUP($B105&amp;$B$12,'总表-2026'!$B$3:$B$258&amp;'总表-2026'!$C$3:$C$258,'总表-2026'!D$3:D$258)</f>
      </c>
      <c r="P105" s="18" cm="1">
        <f t="array" ref="P105:P105">_xlfn.XLOOKUP($B105&amp;$B$12,'总表-2026'!$B$3:$B$258&amp;'总表-2026'!$C$3:$C$258,'总表-2026'!E$3:E$258)</f>
      </c>
      <c r="Q105" s="18" cm="1">
        <f t="array" ref="Q105:Q105">_xlfn.XLOOKUP($B105&amp;$B$12,'总表-2026'!$B$3:$B$258&amp;'总表-2026'!$C$3:$C$258,'总表-2026'!F$3:F$258)</f>
      </c>
      <c r="R105" s="18" cm="1">
        <f t="array" ref="R105:R105">_xlfn.XLOOKUP($B105&amp;$B$12,'总表-2026'!$B$3:$B$258&amp;'总表-2026'!$C$3:$C$258,'总表-2026'!G$3:G$258)</f>
      </c>
      <c r="S105" s="18" cm="1">
        <f t="array" ref="S105:S105">_xlfn.XLOOKUP($B105&amp;$B$12,'总表-2026'!$B$3:$B$258&amp;'总表-2026'!$C$3:$C$258,'总表-2026'!H$3:H$258)</f>
      </c>
      <c r="T105" s="18" cm="1">
        <f t="array" ref="T105:T105">_xlfn.XLOOKUP($B105&amp;$B$12,'总表-2026'!$B$3:$B$258&amp;'总表-2026'!$C$3:$C$258,'总表-2026'!I$3:I$258)</f>
      </c>
      <c r="U105" s="18" cm="1">
        <f t="array" ref="U105:U105">_xlfn.XLOOKUP($B105&amp;$B$12,'总表-2026'!$B$3:$B$258&amp;'总表-2026'!$C$3:$C$258,'总表-2026'!J$3:J$258)</f>
      </c>
      <c r="V105" s="18" cm="1">
        <f t="array" ref="V105:V105">_xlfn.XLOOKUP($B105&amp;$B$12,'总表-2026'!$B$3:$B$258&amp;'总表-2026'!$C$3:$C$258,'总表-2026'!K$3:K$258)</f>
      </c>
      <c r="W105" s="18" cm="1">
        <f t="array" ref="W105:W105">_xlfn.XLOOKUP($B105&amp;$B$12,'总表-2026'!$B$3:$B$258&amp;'总表-2026'!$C$3:$C$258,'总表-2026'!L$3:L$258)</f>
      </c>
      <c r="X105" s="18" cm="1">
        <f t="array" ref="X105:X105">_xlfn.XLOOKUP($B105&amp;$B$12,'总表-2026'!$B$3:$B$258&amp;'总表-2026'!$C$3:$C$258,'总表-2026'!M$3:M$258)</f>
      </c>
      <c r="Y105" s="18" cm="1">
        <f t="array" ref="Y105:Y105">_xlfn.XLOOKUP($B105&amp;$B$12,'总表-2026'!$B$3:$B$258&amp;'总表-2026'!$C$3:$C$258,'总表-2026'!N$3:N$258)</f>
      </c>
      <c r="Z105" s="18" cm="1">
        <f t="array" ref="Z105:Z105">_xlfn.XLOOKUP($B105&amp;$B$12,'总表-2026'!$B$3:$B$258&amp;'总表-2026'!$C$3:$C$258,'总表-2026'!O$3:O$258)</f>
      </c>
    </row>
    <row customHeight="true" ht="19" r="106">
      <c r="A106" s="20" t="str">
        <v>省份5</v>
      </c>
      <c r="B106" s="21">
        <f>B81</f>
      </c>
      <c r="C106" s="19" cm="1">
        <f t="array" ref="C106:C106">_xlfn.XLOOKUP($B106&amp;$B$12,'总表-2025'!$B$3:$B$258&amp;'总表-2025'!$C$3:$C$258,'总表-2025'!D$3:D$258)</f>
      </c>
      <c r="D106" s="19" cm="1">
        <f t="array" ref="D106:D106">_xlfn.XLOOKUP($B106&amp;$B$12,'总表-2025'!$B$3:$B$258&amp;'总表-2025'!$C$3:$C$258,'总表-2025'!E$3:E$258)</f>
      </c>
      <c r="E106" s="19" cm="1">
        <f t="array" ref="E106:E106">_xlfn.XLOOKUP($B106&amp;$B$12,'总表-2025'!$B$3:$B$258&amp;'总表-2025'!$C$3:$C$258,'总表-2025'!F$3:F$258)</f>
      </c>
      <c r="F106" s="19" cm="1">
        <f t="array" ref="F106:F106">_xlfn.XLOOKUP($B106&amp;$B$12,'总表-2025'!$B$3:$B$258&amp;'总表-2025'!$C$3:$C$258,'总表-2025'!G$3:G$258)</f>
      </c>
      <c r="G106" s="19" cm="1">
        <f t="array" ref="G106:G106">_xlfn.XLOOKUP($B106&amp;$B$12,'总表-2025'!$B$3:$B$258&amp;'总表-2025'!$C$3:$C$258,'总表-2025'!H$3:H$258)</f>
      </c>
      <c r="H106" s="19" cm="1">
        <f t="array" ref="H106:H106">_xlfn.XLOOKUP($B106&amp;$B$12,'总表-2025'!$B$3:$B$258&amp;'总表-2025'!$C$3:$C$258,'总表-2025'!I$3:I$258)</f>
      </c>
      <c r="I106" s="19" cm="1">
        <f t="array" ref="I106:I106">_xlfn.XLOOKUP($B106&amp;$B$12,'总表-2025'!$B$3:$B$258&amp;'总表-2025'!$C$3:$C$258,'总表-2025'!J$3:J$258)</f>
      </c>
      <c r="J106" s="19" cm="1">
        <f t="array" ref="J106:J106">_xlfn.XLOOKUP($B106&amp;$B$12,'总表-2025'!$B$3:$B$258&amp;'总表-2025'!$C$3:$C$258,'总表-2025'!K$3:K$258)</f>
      </c>
      <c r="K106" s="19" cm="1">
        <f t="array" ref="K106:K106">_xlfn.XLOOKUP($B106&amp;$B$12,'总表-2025'!$B$3:$B$258&amp;'总表-2025'!$C$3:$C$258,'总表-2025'!L$3:L$258)</f>
      </c>
      <c r="L106" s="19" cm="1">
        <f t="array" ref="L106:L106">_xlfn.XLOOKUP($B106&amp;$B$12,'总表-2025'!$B$3:$B$258&amp;'总表-2025'!$C$3:$C$258,'总表-2025'!M$3:M$258)</f>
      </c>
      <c r="M106" s="19" cm="1">
        <f t="array" ref="M106:M106">_xlfn.XLOOKUP($B106&amp;$B$12,'总表-2025'!$B$3:$B$258&amp;'总表-2025'!$C$3:$C$258,'总表-2025'!N$3:N$258)</f>
      </c>
      <c r="N106" s="19" cm="1">
        <f t="array" ref="N106:N106">_xlfn.XLOOKUP($B106&amp;$B$12,'总表-2025'!$B$3:$B$258&amp;'总表-2025'!$C$3:$C$258,'总表-2025'!O$3:O$258)</f>
      </c>
      <c r="O106" s="18" cm="1">
        <f t="array" ref="O106:O106">_xlfn.XLOOKUP($B106&amp;$B$12,'总表-2026'!$B$3:$B$258&amp;'总表-2026'!$C$3:$C$258,'总表-2026'!D$3:D$258)</f>
      </c>
      <c r="P106" s="18" cm="1">
        <f t="array" ref="P106:P106">_xlfn.XLOOKUP($B106&amp;$B$12,'总表-2026'!$B$3:$B$258&amp;'总表-2026'!$C$3:$C$258,'总表-2026'!E$3:E$258)</f>
      </c>
      <c r="Q106" s="18" cm="1">
        <f t="array" ref="Q106:Q106">_xlfn.XLOOKUP($B106&amp;$B$12,'总表-2026'!$B$3:$B$258&amp;'总表-2026'!$C$3:$C$258,'总表-2026'!F$3:F$258)</f>
      </c>
      <c r="R106" s="18" cm="1">
        <f t="array" ref="R106:R106">_xlfn.XLOOKUP($B106&amp;$B$12,'总表-2026'!$B$3:$B$258&amp;'总表-2026'!$C$3:$C$258,'总表-2026'!G$3:G$258)</f>
      </c>
      <c r="S106" s="18" cm="1">
        <f t="array" ref="S106:S106">_xlfn.XLOOKUP($B106&amp;$B$12,'总表-2026'!$B$3:$B$258&amp;'总表-2026'!$C$3:$C$258,'总表-2026'!H$3:H$258)</f>
      </c>
      <c r="T106" s="18" cm="1">
        <f t="array" ref="T106:T106">_xlfn.XLOOKUP($B106&amp;$B$12,'总表-2026'!$B$3:$B$258&amp;'总表-2026'!$C$3:$C$258,'总表-2026'!I$3:I$258)</f>
      </c>
      <c r="U106" s="18" cm="1">
        <f t="array" ref="U106:U106">_xlfn.XLOOKUP($B106&amp;$B$12,'总表-2026'!$B$3:$B$258&amp;'总表-2026'!$C$3:$C$258,'总表-2026'!J$3:J$258)</f>
      </c>
      <c r="V106" s="18" cm="1">
        <f t="array" ref="V106:V106">_xlfn.XLOOKUP($B106&amp;$B$12,'总表-2026'!$B$3:$B$258&amp;'总表-2026'!$C$3:$C$258,'总表-2026'!K$3:K$258)</f>
      </c>
      <c r="W106" s="18" cm="1">
        <f t="array" ref="W106:W106">_xlfn.XLOOKUP($B106&amp;$B$12,'总表-2026'!$B$3:$B$258&amp;'总表-2026'!$C$3:$C$258,'总表-2026'!L$3:L$258)</f>
      </c>
      <c r="X106" s="18" cm="1">
        <f t="array" ref="X106:X106">_xlfn.XLOOKUP($B106&amp;$B$12,'总表-2026'!$B$3:$B$258&amp;'总表-2026'!$C$3:$C$258,'总表-2026'!M$3:M$258)</f>
      </c>
      <c r="Y106" s="18" cm="1">
        <f t="array" ref="Y106:Y106">_xlfn.XLOOKUP($B106&amp;$B$12,'总表-2026'!$B$3:$B$258&amp;'总表-2026'!$C$3:$C$258,'总表-2026'!N$3:N$258)</f>
      </c>
      <c r="Z106" s="18" cm="1">
        <f t="array" ref="Z106:Z106">_xlfn.XLOOKUP($B106&amp;$B$12,'总表-2026'!$B$3:$B$258&amp;'总表-2026'!$C$3:$C$258,'总表-2026'!O$3:O$258)</f>
      </c>
    </row>
  </sheetData>
  <dataValidations count="3">
    <dataValidation allowBlank="true" errorStyle="stop" showErrorMessage="true" sqref="B4 B76" type="list">
      <formula1>"单一制10kV,单一制35kV,单一制110kV,单一制220kV,两部制10kV,两部制35kV,两部制110kV,两部制220kV"</formula1>
    </dataValidation>
    <dataValidation allowBlank="true" errorStyle="stop" showErrorMessage="true" sqref="B3" type="list">
      <formula1>"2026年1月,2026年2月,2026年3月,2026年4月,2026年5月,2026年6月,2026年7月,2026年8月,2026年9月,2026年10月,2026年11月,2026年12月,年均"</formula1>
    </dataValidation>
    <dataValidation allowBlank="true" errorStyle="stop" showErrorMessage="true" sqref="B2" type="list">
      <formula1>"北京,天津,河北南网,冀北,山东,山西,蒙西,上海,江苏,浙江,安徽,福建,湖北,河南,湖南,江西,辽宁,吉林,黑龙江,蒙东,陕西,甘肃,青海,宁夏,新疆,重庆,四川,西藏,广东,广西,云南,贵州,海南"</formula1>
    </dataValidation>
  </dataValidations>
  <drawing r:id="rId1"/>
  <extLst>
    <ext xmlns:x14="http://schemas.microsoft.com/office/spreadsheetml/2009/9/main" uri="{B5AA9217-F230-432A-82AF-224A6661D829}">
      <x14:dataValidations xmlns:xm="http://schemas.microsoft.com/office/excel/2006/main" count="1">
        <x14:dataValidation type="list" allowBlank="true" errorStyle="stop" showErrorMessage="true" xr:uid="{0A91B3CC-91BA-451D-B243-AD5770D90DDF}">
          <x14:formula1>
            <xm:f>'分表5-政府性基金及附加'!$B$2:$B$33</xm:f>
          </x14:formula1>
          <xm:sqref>B77:B81</xm:sqref>
        </x14:dataValidation>
      </x14:dataValidations>
    </ext>
  </extLst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0"/>
    <col collapsed="false" customWidth="true" hidden="false" max="3" min="3" style="0" width="26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5" min="15" style="0" width="13"/>
    <col collapsed="false" customWidth="true" hidden="false" max="16" min="16" style="0" width="13"/>
  </cols>
  <sheetData>
    <row customHeight="true" ht="19" r="1">
      <c r="A1" s="47"/>
      <c r="B1" s="49" t="str">
        <v>电压等级</v>
      </c>
      <c r="C1" s="48">
        <f>'首页+选择功能'!B4</f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customHeight="true" ht="19" r="2">
      <c r="A2" s="50" t="str">
        <v>序号</v>
      </c>
      <c r="B2" s="50" t="str">
        <v>省份</v>
      </c>
      <c r="C2" s="51" t="str">
        <v>2026年电价表</v>
      </c>
      <c r="D2" s="50" t="str">
        <v>1月</v>
      </c>
      <c r="E2" s="50" t="str">
        <v>2月</v>
      </c>
      <c r="F2" s="50" t="str">
        <v>3月</v>
      </c>
      <c r="G2" s="50" t="str">
        <v>4月</v>
      </c>
      <c r="H2" s="50" t="str">
        <v>5月</v>
      </c>
      <c r="I2" s="50" t="str">
        <v>6月</v>
      </c>
      <c r="J2" s="50" t="str">
        <v>7月</v>
      </c>
      <c r="K2" s="50" t="str">
        <v>8月</v>
      </c>
      <c r="L2" s="50" t="str">
        <v>9月</v>
      </c>
      <c r="M2" s="50" t="str">
        <v>10月</v>
      </c>
      <c r="N2" s="50" t="str">
        <v>11月</v>
      </c>
      <c r="O2" s="50" t="str">
        <v>12月</v>
      </c>
      <c r="P2" s="50" t="str">
        <v>年均</v>
      </c>
      <c r="Q2" s="50" t="str">
        <v>趋势图</v>
      </c>
    </row>
    <row r="3">
      <c r="A3" s="34">
        <v>1</v>
      </c>
      <c r="B3" s="40" t="str">
        <v>北京</v>
      </c>
      <c r="C3" s="39" t="str">
        <v>代理购电价格</v>
      </c>
      <c r="D3" s="34">
        <f>'分表1-2026电网代购价'!D2</f>
      </c>
      <c r="E3" s="34">
        <f>'分表1-2026电网代购价'!E2</f>
      </c>
      <c r="F3" s="34">
        <f>'分表1-2026电网代购价'!F2</f>
      </c>
      <c r="G3" s="34">
        <f>'分表1-2026电网代购价'!G2</f>
      </c>
      <c r="H3" s="34">
        <f>'分表1-2026电网代购价'!H2</f>
      </c>
      <c r="I3" s="34"/>
      <c r="J3" s="34"/>
      <c r="K3" s="34"/>
      <c r="L3" s="34"/>
      <c r="M3" s="34"/>
      <c r="N3" s="34"/>
      <c r="O3" s="34"/>
      <c r="P3" s="34">
        <f>IF(SUM(D3:O3)=0,"0",AVERAGEIF(D3:O3,"&lt;&gt;0",D3:O3))</f>
      </c>
      <c r="Q3" s="38"/>
    </row>
    <row r="4">
      <c r="A4" s="34">
        <v>2</v>
      </c>
      <c r="B4" s="40" t="str">
        <v>北京</v>
      </c>
      <c r="C4" s="39" t="str">
        <v>上网环节线损电价</v>
      </c>
      <c r="D4" s="34">
        <f>'分表2-2026上网环节线损'!C2</f>
      </c>
      <c r="E4" s="34">
        <f>'分表2-2026上网环节线损'!D2</f>
      </c>
      <c r="F4" s="34">
        <f>'分表2-2026上网环节线损'!E2</f>
      </c>
      <c r="G4" s="34">
        <f>'分表2-2026上网环节线损'!F2</f>
      </c>
      <c r="H4" s="34">
        <f>'分表2-2026上网环节线损'!G2</f>
      </c>
      <c r="I4" s="34"/>
      <c r="J4" s="34"/>
      <c r="K4" s="34"/>
      <c r="L4" s="34"/>
      <c r="M4" s="34"/>
      <c r="N4" s="34"/>
      <c r="O4" s="34"/>
      <c r="P4" s="34">
        <f>IF(SUM(D4:O4)=0,"0",AVERAGEIF(D4:O4,"&lt;&gt;0",D4:O4))</f>
      </c>
      <c r="Q4" s="38"/>
    </row>
    <row customHeight="true" ht="19" r="5">
      <c r="A5" s="34">
        <v>3</v>
      </c>
      <c r="B5" s="40" t="str">
        <v>北京</v>
      </c>
      <c r="C5" s="39" t="str">
        <v>电度输配电价</v>
      </c>
      <c r="D5" s="34" cm="1">
        <f t="array" ref="D5:D5">_xlfn.XLOOKUP($C$1,'分表4-电度输配电价'!$C2：'分表4-电度输配电价'!$C9&amp;'分表4-电度输配电价'!$D2：'分表4-电度输配电价'!$D9,'分表4-电度输配电价'!$E2：'分表4-电度输配电价'!$E9)</f>
      </c>
      <c r="E5" s="34" cm="1">
        <f t="array" ref="E5:E5">_xlfn.XLOOKUP($C$1,'分表4-电度输配电价'!$C2：'分表4-电度输配电价'!$C9&amp;'分表4-电度输配电价'!$D2：'分表4-电度输配电价'!$D9,'分表4-电度输配电价'!$E2：'分表4-电度输配电价'!$E9)</f>
      </c>
      <c r="F5" s="34" cm="1">
        <f t="array" ref="F5:F5">_xlfn.XLOOKUP($C$1,'分表4-电度输配电价'!$C2：'分表4-电度输配电价'!$C9&amp;'分表4-电度输配电价'!$D2：'分表4-电度输配电价'!$D9,'分表4-电度输配电价'!$E2：'分表4-电度输配电价'!$E9)</f>
      </c>
      <c r="G5" s="34" cm="1">
        <f t="array" ref="G5:G5">_xlfn.XLOOKUP($C$1,'分表4-电度输配电价'!$C2：'分表4-电度输配电价'!$C9&amp;'分表4-电度输配电价'!$D2：'分表4-电度输配电价'!$D9,'分表4-电度输配电价'!$E2：'分表4-电度输配电价'!$E9)</f>
      </c>
      <c r="H5" s="34" cm="1">
        <f t="array" ref="H5:H5">_xlfn.XLOOKUP($C$1,'分表4-电度输配电价'!$C2：'分表4-电度输配电价'!$C9&amp;'分表4-电度输配电价'!$D2：'分表4-电度输配电价'!$D9,'分表4-电度输配电价'!$E2：'分表4-电度输配电价'!$E9)</f>
      </c>
      <c r="I5" s="34"/>
      <c r="J5" s="34"/>
      <c r="K5" s="34"/>
      <c r="L5" s="34"/>
      <c r="M5" s="34"/>
      <c r="N5" s="34"/>
      <c r="O5" s="34"/>
      <c r="P5" s="34">
        <f>IF(SUM(D5:O5)=0,"0",AVERAGEIF(D5:O5,"&lt;&gt;0",D5:O5))</f>
      </c>
      <c r="Q5" s="38"/>
    </row>
    <row customHeight="true" ht="19" r="6">
      <c r="A6" s="34">
        <v>4</v>
      </c>
      <c r="B6" s="40" t="str">
        <v>北京</v>
      </c>
      <c r="C6" s="39" t="str">
        <v>政府性基金及附加</v>
      </c>
      <c r="D6" s="34" cm="1">
        <f t="array" ref="D6:D6">_xlfn.XLOOKUP($B$6,'分表5-政府性基金及附加'!$B$2：'分表5-政府性基金及附加'!$B$199,'分表5-政府性基金及附加'!$D$2：'分表5-政府性基金及附加'!$D$199)</f>
      </c>
      <c r="E6" s="34" cm="1">
        <f t="array" ref="E6:E6">_xlfn.XLOOKUP($B$6,'分表5-政府性基金及附加'!$B$2：'分表5-政府性基金及附加'!$B$199,'分表5-政府性基金及附加'!$D$2：'分表5-政府性基金及附加'!$D$199)</f>
      </c>
      <c r="F6" s="34" cm="1">
        <f t="array" ref="F6:F6">_xlfn.XLOOKUP($B$6,'分表5-政府性基金及附加'!$B$2：'分表5-政府性基金及附加'!$B$199,'分表5-政府性基金及附加'!$D$2：'分表5-政府性基金及附加'!$D$199)</f>
      </c>
      <c r="G6" s="34" cm="1">
        <f t="array" ref="G6:G6">_xlfn.XLOOKUP($B$6,'分表5-政府性基金及附加'!$B$2：'分表5-政府性基金及附加'!$B$199,'分表5-政府性基金及附加'!$D$2：'分表5-政府性基金及附加'!$D$199)</f>
      </c>
      <c r="H6" s="34" cm="1">
        <f t="array" ref="H6:H6">_xlfn.XLOOKUP($B$6,'分表5-政府性基金及附加'!$B$2：'分表5-政府性基金及附加'!$B$199,'分表5-政府性基金及附加'!$D$2：'分表5-政府性基金及附加'!$D$199)</f>
      </c>
      <c r="I6" s="34"/>
      <c r="J6" s="34"/>
      <c r="K6" s="34"/>
      <c r="L6" s="34"/>
      <c r="M6" s="34"/>
      <c r="N6" s="34"/>
      <c r="O6" s="34"/>
      <c r="P6" s="34">
        <f>IF(SUM(D6:O6)=0,"0",AVERAGEIF(D6:O6,"&lt;&gt;0",D6:O6))</f>
      </c>
      <c r="Q6" s="38"/>
    </row>
    <row customHeight="true" ht="19" r="7">
      <c r="A7" s="34">
        <v>5</v>
      </c>
      <c r="B7" s="40" t="str">
        <v>北京</v>
      </c>
      <c r="C7" s="39" t="str">
        <v>系统运行费折价</v>
      </c>
      <c r="D7" s="34">
        <f>'分表3-2026系统运行费'!D2</f>
      </c>
      <c r="E7" s="34">
        <f>'分表3-2026系统运行费'!E2</f>
      </c>
      <c r="F7" s="34">
        <f>'分表3-2026系统运行费'!F2</f>
      </c>
      <c r="G7" s="34">
        <f>'分表3-2026系统运行费'!G2</f>
      </c>
      <c r="H7" s="34">
        <f>'分表3-2026系统运行费'!H2</f>
      </c>
      <c r="I7" s="34"/>
      <c r="J7" s="34"/>
      <c r="K7" s="34"/>
      <c r="L7" s="34"/>
      <c r="M7" s="34"/>
      <c r="N7" s="34"/>
      <c r="O7" s="34"/>
      <c r="P7" s="34">
        <f>IF(SUM(D7:O7)=0,"0",AVERAGEIF(D7:O7,"&lt;&gt;0",D7:O7))</f>
      </c>
      <c r="Q7" s="38"/>
    </row>
    <row customHeight="true" ht="19" r="8">
      <c r="A8" s="34">
        <v>6</v>
      </c>
      <c r="B8" s="40" t="str">
        <v>北京</v>
      </c>
      <c r="C8" s="39" t="str">
        <v>综合平段电价--电网代购</v>
      </c>
      <c r="D8" s="34">
        <f>IF(D5="/","/",SUM(D3:D7))</f>
      </c>
      <c r="E8" s="34">
        <f>IF(E5="/","/",SUM(E3:E7))</f>
      </c>
      <c r="F8" s="34">
        <f>IF(F5="/","/",SUM(F3:F7))</f>
      </c>
      <c r="G8" s="34">
        <f>IF(G5="/","/",SUM(G3:G7))</f>
      </c>
      <c r="H8" s="34">
        <f>IF(H5="/","/",SUM(H3:H7))</f>
      </c>
      <c r="I8" s="34"/>
      <c r="J8" s="34"/>
      <c r="K8" s="34"/>
      <c r="L8" s="34"/>
      <c r="M8" s="34"/>
      <c r="N8" s="34"/>
      <c r="O8" s="34"/>
      <c r="P8" s="34">
        <f>IF(SUM(D8:O8)=0,"0",AVERAGEIF(D8:O8,"&lt;&gt;0",D8:O8))</f>
      </c>
      <c r="Q8" s="38"/>
    </row>
    <row customHeight="true" ht="19" r="9">
      <c r="A9" s="34">
        <v>7</v>
      </c>
      <c r="B9" s="40" t="str">
        <v>北京</v>
      </c>
      <c r="C9" s="39" t="str">
        <v>入市交易购电价格</v>
      </c>
      <c r="D9" s="34">
        <f>'分表7-2026交易价格'!D2</f>
      </c>
      <c r="E9" s="34">
        <f>'分表7-2026交易价格'!E2</f>
      </c>
      <c r="F9" s="34">
        <f>'分表7-2026交易价格'!F2</f>
      </c>
      <c r="G9" s="34">
        <f>'分表7-2026交易价格'!G2</f>
      </c>
      <c r="H9" s="34">
        <f>'分表7-2026交易价格'!H2</f>
      </c>
      <c r="I9" s="34"/>
      <c r="J9" s="34"/>
      <c r="K9" s="34"/>
      <c r="L9" s="34"/>
      <c r="M9" s="34"/>
      <c r="N9" s="34"/>
      <c r="O9" s="34"/>
      <c r="P9" s="34">
        <f>IF(SUM(D9:O9)=0,"0",AVERAGEIF(D9:O9,"&lt;&gt;0",D9:O9))</f>
      </c>
      <c r="Q9" s="38"/>
    </row>
    <row customHeight="true" ht="19" r="10">
      <c r="A10" s="34">
        <v>8</v>
      </c>
      <c r="B10" s="40" t="str">
        <v>北京</v>
      </c>
      <c r="C10" s="39" t="str">
        <v>综合平段电价--入市交易</v>
      </c>
      <c r="D10" s="34">
        <f>IF(D5="/","/",IF(D9&gt;0,D9+SUM(D4:D7),"/"))</f>
      </c>
      <c r="E10" s="34">
        <f>IF(E5="/","/",IF(E9&gt;0,E9+SUM(E4:E7),"/"))</f>
      </c>
      <c r="F10" s="34">
        <f>IF(F5="/","/",IF(F9&gt;0,F9+SUM(F4:F7),"/"))</f>
      </c>
      <c r="G10" s="34">
        <f>IF(G5="/","/",IF(G9&gt;0,G9+SUM(G4:G7),"/"))</f>
      </c>
      <c r="H10" s="34">
        <f>IF(H5="/","/",IF(H9&gt;0,H9+SUM(H4:H7),"/"))</f>
      </c>
      <c r="I10" s="34"/>
      <c r="J10" s="34"/>
      <c r="K10" s="34"/>
      <c r="L10" s="34"/>
      <c r="M10" s="34"/>
      <c r="N10" s="34"/>
      <c r="O10" s="34"/>
      <c r="P10" s="34">
        <f>IF(SUM(D10:O10)=0,"0",AVERAGEIF(D10:O10,"&lt;&gt;0",D10:O10))</f>
      </c>
      <c r="Q10" s="38"/>
    </row>
    <row r="11">
      <c r="A11" s="34">
        <v>9</v>
      </c>
      <c r="B11" s="31" t="str">
        <v>天津</v>
      </c>
      <c r="C11" s="37" t="str">
        <v>代理购电价格</v>
      </c>
      <c r="D11" s="36">
        <f>'分表1-2026电网代购价'!D5</f>
      </c>
      <c r="E11" s="36">
        <f>'分表1-2026电网代购价'!E5</f>
      </c>
      <c r="F11" s="36">
        <f>'分表1-2026电网代购价'!F5</f>
      </c>
      <c r="G11" s="36">
        <f>'分表1-2026电网代购价'!G5</f>
      </c>
      <c r="H11" s="36">
        <f>'分表1-2026电网代购价'!H5</f>
      </c>
      <c r="I11" s="36"/>
      <c r="J11" s="36"/>
      <c r="K11" s="36"/>
      <c r="L11" s="36"/>
      <c r="M11" s="36"/>
      <c r="N11" s="36"/>
      <c r="O11" s="36"/>
      <c r="P11" s="36">
        <f>IF(SUM(D11:O11)=0,"0",AVERAGEIF(D11:O11,"&lt;&gt;0",D11:O11))</f>
      </c>
      <c r="Q11" s="35"/>
    </row>
    <row customHeight="true" ht="19" r="12">
      <c r="A12" s="34">
        <v>10</v>
      </c>
      <c r="B12" s="31" t="str">
        <v>天津</v>
      </c>
      <c r="C12" s="37" t="str">
        <v>上网环节线损电价</v>
      </c>
      <c r="D12" s="32">
        <f>'分表2-2026上网环节线损'!C3</f>
      </c>
      <c r="E12" s="32">
        <f>'分表2-2026上网环节线损'!D3</f>
      </c>
      <c r="F12" s="32">
        <f>'分表2-2026上网环节线损'!E3</f>
      </c>
      <c r="G12" s="32">
        <f>'分表2-2026上网环节线损'!F3</f>
      </c>
      <c r="H12" s="32">
        <f>'分表2-2026上网环节线损'!G3</f>
      </c>
      <c r="I12" s="32"/>
      <c r="J12" s="33"/>
      <c r="K12" s="32"/>
      <c r="L12" s="32"/>
      <c r="M12" s="32"/>
      <c r="N12" s="32"/>
      <c r="O12" s="32"/>
      <c r="P12" s="36">
        <f>IF(SUM(D12:O12)=0,"0",AVERAGEIF(D12:O12,"&lt;&gt;0",D12:O12))</f>
      </c>
      <c r="Q12" s="35"/>
    </row>
    <row customHeight="true" ht="19" r="13">
      <c r="A13" s="34">
        <v>11</v>
      </c>
      <c r="B13" s="31" t="str">
        <v>天津</v>
      </c>
      <c r="C13" s="37" t="str">
        <v>电度输配电价</v>
      </c>
      <c r="D13" s="36" cm="1">
        <f t="array" ref="D13:D13">_xlfn.XLOOKUP($C$1,'分表4-电度输配电价'!$C10：'分表4-电度输配电价'!$C17&amp;'分表4-电度输配电价'!$D10：'分表4-电度输配电价'!$D17,'分表4-电度输配电价'!$E10：'分表4-电度输配电价'!$E17)</f>
      </c>
      <c r="E13" s="36" cm="1">
        <f t="array" ref="E13:E13">_xlfn.XLOOKUP($C$1,'分表4-电度输配电价'!$C10：'分表4-电度输配电价'!$C17&amp;'分表4-电度输配电价'!$D10：'分表4-电度输配电价'!$D17,'分表4-电度输配电价'!$E10：'分表4-电度输配电价'!$E17)</f>
      </c>
      <c r="F13" s="36" cm="1">
        <f t="array" ref="F13:F13">_xlfn.XLOOKUP($C$1,'分表4-电度输配电价'!$C10：'分表4-电度输配电价'!$C17&amp;'分表4-电度输配电价'!$D10：'分表4-电度输配电价'!$D17,'分表4-电度输配电价'!$E10：'分表4-电度输配电价'!$E17)</f>
      </c>
      <c r="G13" s="36" cm="1">
        <f t="array" ref="G13:G13">_xlfn.XLOOKUP($C$1,'分表4-电度输配电价'!$C10：'分表4-电度输配电价'!$C17&amp;'分表4-电度输配电价'!$D10：'分表4-电度输配电价'!$D17,'分表4-电度输配电价'!$E10：'分表4-电度输配电价'!$E17)</f>
      </c>
      <c r="H13" s="36" cm="1">
        <f t="array" ref="H13:H13">_xlfn.XLOOKUP($C$1,'分表4-电度输配电价'!$C10：'分表4-电度输配电价'!$C17&amp;'分表4-电度输配电价'!$D10：'分表4-电度输配电价'!$D17,'分表4-电度输配电价'!$E10：'分表4-电度输配电价'!$E17)</f>
      </c>
      <c r="I13" s="32"/>
      <c r="J13" s="33"/>
      <c r="K13" s="32"/>
      <c r="L13" s="32"/>
      <c r="M13" s="32"/>
      <c r="N13" s="32"/>
      <c r="O13" s="32"/>
      <c r="P13" s="36">
        <f>IF(SUM(D13:O13)=0,"0",AVERAGEIF(D13:O13,"&lt;&gt;0",D13:O13))</f>
      </c>
      <c r="Q13" s="35"/>
    </row>
    <row customHeight="true" ht="19" r="14">
      <c r="A14" s="34">
        <v>12</v>
      </c>
      <c r="B14" s="31" t="str">
        <v>天津</v>
      </c>
      <c r="C14" s="37" t="str">
        <v>政府性基金及附加</v>
      </c>
      <c r="D14" s="36" cm="1">
        <f t="array" ref="D14:D14">_xlfn.XLOOKUP($B$14,'分表5-政府性基金及附加'!$B$2：'分表5-政府性基金及附加'!$B$199,'分表5-政府性基金及附加'!$D$2：'分表5-政府性基金及附加'!$D$199)</f>
      </c>
      <c r="E14" s="36" cm="1">
        <f t="array" ref="E14:E14">_xlfn.XLOOKUP($B$14,'分表5-政府性基金及附加'!$B$2：'分表5-政府性基金及附加'!$B$199,'分表5-政府性基金及附加'!$D$2：'分表5-政府性基金及附加'!$D$199)</f>
      </c>
      <c r="F14" s="36" cm="1">
        <f t="array" ref="F14:F14">_xlfn.XLOOKUP($B$14,'分表5-政府性基金及附加'!$B$2：'分表5-政府性基金及附加'!$B$199,'分表5-政府性基金及附加'!$D$2：'分表5-政府性基金及附加'!$D$199)</f>
      </c>
      <c r="G14" s="36" cm="1">
        <f t="array" ref="G14:G14">_xlfn.XLOOKUP($B$14,'分表5-政府性基金及附加'!$B$2：'分表5-政府性基金及附加'!$B$199,'分表5-政府性基金及附加'!$D$2：'分表5-政府性基金及附加'!$D$199)</f>
      </c>
      <c r="H14" s="36" cm="1">
        <f t="array" ref="H14:H14">_xlfn.XLOOKUP($B$14,'分表5-政府性基金及附加'!$B$2：'分表5-政府性基金及附加'!$B$199,'分表5-政府性基金及附加'!$D$2：'分表5-政府性基金及附加'!$D$199)</f>
      </c>
      <c r="I14" s="32"/>
      <c r="J14" s="33"/>
      <c r="K14" s="32"/>
      <c r="L14" s="32"/>
      <c r="M14" s="32"/>
      <c r="N14" s="32"/>
      <c r="O14" s="32"/>
      <c r="P14" s="36">
        <f>IF(SUM(D14:O14)=0,"0",AVERAGEIF(D14:O14,"&lt;&gt;0",D14:O14))</f>
      </c>
      <c r="Q14" s="35"/>
    </row>
    <row customHeight="true" ht="19" r="15">
      <c r="A15" s="34">
        <v>13</v>
      </c>
      <c r="B15" s="31" t="str">
        <v>天津</v>
      </c>
      <c r="C15" s="37" t="str">
        <v>系统运行费折价</v>
      </c>
      <c r="D15" s="32">
        <f>'分表3-2026系统运行费'!Q2</f>
      </c>
      <c r="E15" s="32">
        <f>'分表3-2026系统运行费'!R2</f>
      </c>
      <c r="F15" s="32">
        <f>'分表3-2026系统运行费'!S2</f>
      </c>
      <c r="G15" s="32">
        <f>'分表3-2026系统运行费'!T2</f>
      </c>
      <c r="H15" s="32">
        <f>'分表3-2026系统运行费'!U2</f>
      </c>
      <c r="I15" s="32"/>
      <c r="J15" s="33"/>
      <c r="K15" s="32"/>
      <c r="L15" s="32"/>
      <c r="M15" s="32"/>
      <c r="N15" s="32"/>
      <c r="O15" s="32"/>
      <c r="P15" s="36">
        <f>IF(SUM(D15:O15)=0,"0",AVERAGEIF(D15:O15,"&lt;&gt;0",D15:O15))</f>
      </c>
      <c r="Q15" s="35"/>
    </row>
    <row customHeight="true" ht="19" r="16">
      <c r="A16" s="34">
        <v>14</v>
      </c>
      <c r="B16" s="31" t="str">
        <v>天津</v>
      </c>
      <c r="C16" s="37" t="str">
        <v>综合平段电价--电网代购</v>
      </c>
      <c r="D16" s="36">
        <f>IF(D13="/","/",SUM(D11:D15))</f>
      </c>
      <c r="E16" s="36">
        <f>IF(E13="/","/",SUM(E11:E15))</f>
      </c>
      <c r="F16" s="36">
        <f>IF(F13="/","/",SUM(F11:F15))</f>
      </c>
      <c r="G16" s="36">
        <f>IF(G13="/","/",SUM(G11:G15))</f>
      </c>
      <c r="H16" s="36">
        <f>IF(H13="/","/",SUM(H11:H15))</f>
      </c>
      <c r="I16" s="32"/>
      <c r="J16" s="33"/>
      <c r="K16" s="32"/>
      <c r="L16" s="32"/>
      <c r="M16" s="32"/>
      <c r="N16" s="32"/>
      <c r="O16" s="32"/>
      <c r="P16" s="36">
        <f>IF(SUM(D16:O16)=0,"0",AVERAGEIF(D16:O16,"&lt;&gt;0",D16:O16))</f>
      </c>
      <c r="Q16" s="35"/>
    </row>
    <row customHeight="true" ht="19" r="17">
      <c r="A17" s="34">
        <v>15</v>
      </c>
      <c r="B17" s="31" t="str">
        <v>天津</v>
      </c>
      <c r="C17" s="37" t="str">
        <v>入市交易购电价格</v>
      </c>
      <c r="D17" s="32">
        <f>'分表7-2026交易价格'!D3</f>
      </c>
      <c r="E17" s="32">
        <f>'分表7-2026交易价格'!E3</f>
      </c>
      <c r="F17" s="32">
        <f>'分表7-2026交易价格'!F3</f>
      </c>
      <c r="G17" s="32">
        <f>'分表7-2026交易价格'!G3</f>
      </c>
      <c r="H17" s="32">
        <f>'分表7-2026交易价格'!H3</f>
      </c>
      <c r="I17" s="32"/>
      <c r="J17" s="33"/>
      <c r="K17" s="32"/>
      <c r="L17" s="32"/>
      <c r="M17" s="32"/>
      <c r="N17" s="32"/>
      <c r="O17" s="32"/>
      <c r="P17" s="36">
        <f>IF(SUM(D17:O17)=0,"0",AVERAGEIF(D17:O17,"&lt;&gt;0",D17:O17))</f>
      </c>
      <c r="Q17" s="35"/>
    </row>
    <row customHeight="true" ht="19" r="18">
      <c r="A18" s="34">
        <v>16</v>
      </c>
      <c r="B18" s="31" t="str">
        <v>天津</v>
      </c>
      <c r="C18" s="37" t="str">
        <v>综合平段电价--入市交易</v>
      </c>
      <c r="D18" s="36">
        <f>IF(D13="/","/",IF(D17&gt;0,D17+SUM(D12:D15),"/"))</f>
      </c>
      <c r="E18" s="36">
        <f>IF(E13="/","/",IF(E17&gt;0,E17+SUM(E12:E15),"/"))</f>
      </c>
      <c r="F18" s="36">
        <f>IF(F13="/","/",IF(F17&gt;0,F17+SUM(F12:F15),"/"))</f>
      </c>
      <c r="G18" s="36">
        <f>IF(G13="/","/",IF(G17&gt;0,G17+SUM(G12:G15),"/"))</f>
      </c>
      <c r="H18" s="36">
        <f>IF(H13="/","/",IF(H17&gt;0,H17+SUM(H12:H15),"/"))</f>
      </c>
      <c r="I18" s="32"/>
      <c r="J18" s="33"/>
      <c r="K18" s="32"/>
      <c r="L18" s="32"/>
      <c r="M18" s="32"/>
      <c r="N18" s="32"/>
      <c r="O18" s="32"/>
      <c r="P18" s="36">
        <f>IF(SUM(D18:O18)=0,"0",AVERAGEIF(D18:O18,"&lt;&gt;0",D18:O18))</f>
      </c>
      <c r="Q18" s="35"/>
    </row>
    <row customHeight="true" ht="19" r="19">
      <c r="A19" s="34">
        <v>17</v>
      </c>
      <c r="B19" s="40" t="str">
        <v>河北南网</v>
      </c>
      <c r="C19" s="39" t="str">
        <v>代理购电价格</v>
      </c>
      <c r="D19" s="34">
        <f>'分表1-2026电网代购价'!D8</f>
      </c>
      <c r="E19" s="34">
        <f>'分表1-2026电网代购价'!E8</f>
      </c>
      <c r="F19" s="34">
        <f>'分表1-2026电网代购价'!F8</f>
      </c>
      <c r="G19" s="34">
        <f>'分表1-2026电网代购价'!G8</f>
      </c>
      <c r="H19" s="34">
        <f>'分表1-2026电网代购价'!H8</f>
      </c>
      <c r="I19" s="34"/>
      <c r="J19" s="34"/>
      <c r="K19" s="34"/>
      <c r="L19" s="34"/>
      <c r="M19" s="34"/>
      <c r="N19" s="34"/>
      <c r="O19" s="34"/>
      <c r="P19" s="34">
        <f>IF(SUM(D19:O19)=0,"0",AVERAGEIF(D19:O19,"&lt;&gt;0",D19:O19))</f>
      </c>
      <c r="Q19" s="38"/>
    </row>
    <row customHeight="true" ht="19" r="20">
      <c r="A20" s="34">
        <v>18</v>
      </c>
      <c r="B20" s="40" t="str">
        <v>河北南网</v>
      </c>
      <c r="C20" s="39" t="str">
        <v>上网环节线损电价</v>
      </c>
      <c r="D20" s="34">
        <f>'分表2-2026上网环节线损'!C4</f>
      </c>
      <c r="E20" s="34">
        <f>'分表2-2026上网环节线损'!D4</f>
      </c>
      <c r="F20" s="34">
        <f>'分表2-2026上网环节线损'!E4</f>
      </c>
      <c r="G20" s="34">
        <f>'分表2-2026上网环节线损'!F4</f>
      </c>
      <c r="H20" s="34">
        <f>'分表2-2026上网环节线损'!G4</f>
      </c>
      <c r="I20" s="34"/>
      <c r="J20" s="34"/>
      <c r="K20" s="34"/>
      <c r="L20" s="34"/>
      <c r="M20" s="34"/>
      <c r="N20" s="34"/>
      <c r="O20" s="34"/>
      <c r="P20" s="34">
        <f>IF(SUM(D20:O20)=0,"0",AVERAGEIF(D20:O20,"&lt;&gt;0",D20:O20))</f>
      </c>
      <c r="Q20" s="38"/>
    </row>
    <row customHeight="true" ht="19" r="21">
      <c r="A21" s="34">
        <v>19</v>
      </c>
      <c r="B21" s="40" t="str">
        <v>河北南网</v>
      </c>
      <c r="C21" s="39" t="str">
        <v>电度输配电价</v>
      </c>
      <c r="D21" s="34" cm="1">
        <f t="array" ref="D21:D21">_xlfn.XLOOKUP($C$1,'分表4-电度输配电价'!$C18：'分表4-电度输配电价'!$C25&amp;'分表4-电度输配电价'!$D18：'分表4-电度输配电价'!$D25,'分表4-电度输配电价'!$E18：'分表4-电度输配电价'!$E25)</f>
      </c>
      <c r="E21" s="34" cm="1">
        <f t="array" ref="E21:E21">_xlfn.XLOOKUP($C$1,'分表4-电度输配电价'!$C18：'分表4-电度输配电价'!$C25&amp;'分表4-电度输配电价'!$D18：'分表4-电度输配电价'!$D25,'分表4-电度输配电价'!$E18：'分表4-电度输配电价'!$E25)</f>
      </c>
      <c r="F21" s="34" cm="1">
        <f t="array" ref="F21:F21">_xlfn.XLOOKUP($C$1,'分表4-电度输配电价'!$C18：'分表4-电度输配电价'!$C25&amp;'分表4-电度输配电价'!$D18：'分表4-电度输配电价'!$D25,'分表4-电度输配电价'!$E18：'分表4-电度输配电价'!$E25)</f>
      </c>
      <c r="G21" s="34" cm="1">
        <f t="array" ref="G21:G21">_xlfn.XLOOKUP($C$1,'分表4-电度输配电价'!$C18：'分表4-电度输配电价'!$C25&amp;'分表4-电度输配电价'!$D18：'分表4-电度输配电价'!$D25,'分表4-电度输配电价'!$E18：'分表4-电度输配电价'!$E25)</f>
      </c>
      <c r="H21" s="34" cm="1">
        <f t="array" ref="H21:H21">_xlfn.XLOOKUP($C$1,'分表4-电度输配电价'!$C18：'分表4-电度输配电价'!$C25&amp;'分表4-电度输配电价'!$D18：'分表4-电度输配电价'!$D25,'分表4-电度输配电价'!$E18：'分表4-电度输配电价'!$E25)</f>
      </c>
      <c r="I21" s="34"/>
      <c r="J21" s="34"/>
      <c r="K21" s="34"/>
      <c r="L21" s="34"/>
      <c r="M21" s="34"/>
      <c r="N21" s="34"/>
      <c r="O21" s="34"/>
      <c r="P21" s="34">
        <f>IF(SUM(D21:O21)=0,"0",AVERAGEIF(D21:O21,"&lt;&gt;0",D21:O21))</f>
      </c>
      <c r="Q21" s="38"/>
    </row>
    <row customHeight="true" ht="19" r="22">
      <c r="A22" s="34">
        <v>20</v>
      </c>
      <c r="B22" s="40" t="str">
        <v>河北南网</v>
      </c>
      <c r="C22" s="39" t="str">
        <v>政府性基金及附加</v>
      </c>
      <c r="D22" s="34" cm="1">
        <f t="array" ref="D22:D22">_xlfn.XLOOKUP($B$22,'分表5-政府性基金及附加'!$B$2：'分表5-政府性基金及附加'!$B$199,'分表5-政府性基金及附加'!$D$2：'分表5-政府性基金及附加'!$D$199)</f>
      </c>
      <c r="E22" s="34" cm="1">
        <f t="array" ref="E22:E22">_xlfn.XLOOKUP($B$22,'分表5-政府性基金及附加'!$B$2：'分表5-政府性基金及附加'!$B$199,'分表5-政府性基金及附加'!$D$2：'分表5-政府性基金及附加'!$D$199)</f>
      </c>
      <c r="F22" s="34" cm="1">
        <f t="array" ref="F22:F22">_xlfn.XLOOKUP($B$22,'分表5-政府性基金及附加'!$B$2：'分表5-政府性基金及附加'!$B$199,'分表5-政府性基金及附加'!$D$2：'分表5-政府性基金及附加'!$D$199)</f>
      </c>
      <c r="G22" s="34" cm="1">
        <f t="array" ref="G22:G22">_xlfn.XLOOKUP($B$22,'分表5-政府性基金及附加'!$B$2：'分表5-政府性基金及附加'!$B$199,'分表5-政府性基金及附加'!$D$2：'分表5-政府性基金及附加'!$D$199)</f>
      </c>
      <c r="H22" s="34" cm="1">
        <f t="array" ref="H22:H22">_xlfn.XLOOKUP($B$22,'分表5-政府性基金及附加'!$B$2：'分表5-政府性基金及附加'!$B$199,'分表5-政府性基金及附加'!$D$2：'分表5-政府性基金及附加'!$D$199)</f>
      </c>
      <c r="I22" s="34"/>
      <c r="J22" s="34"/>
      <c r="K22" s="34"/>
      <c r="L22" s="34"/>
      <c r="M22" s="34"/>
      <c r="N22" s="34"/>
      <c r="O22" s="34"/>
      <c r="P22" s="34">
        <f>IF(SUM(D22:O22)=0,"0",AVERAGEIF(D22:O22,"&lt;&gt;0",D22:O22))</f>
      </c>
      <c r="Q22" s="38"/>
    </row>
    <row customHeight="true" ht="19" r="23">
      <c r="A23" s="34">
        <v>21</v>
      </c>
      <c r="B23" s="40" t="str">
        <v>河北南网</v>
      </c>
      <c r="C23" s="39" t="str">
        <v>系统运行费折价</v>
      </c>
      <c r="D23" s="34">
        <f>'分表3-2026系统运行费'!AD2</f>
      </c>
      <c r="E23" s="34">
        <f>'分表3-2026系统运行费'!AE2</f>
      </c>
      <c r="F23" s="34">
        <f>'分表3-2026系统运行费'!AF2</f>
      </c>
      <c r="G23" s="34">
        <f>'分表3-2026系统运行费'!AG2</f>
      </c>
      <c r="H23" s="34">
        <f>'分表3-2026系统运行费'!AH2</f>
      </c>
      <c r="I23" s="34"/>
      <c r="J23" s="34"/>
      <c r="K23" s="34"/>
      <c r="L23" s="34"/>
      <c r="M23" s="34"/>
      <c r="N23" s="34"/>
      <c r="O23" s="34"/>
      <c r="P23" s="34">
        <f>IF(SUM(D23:O23)=0,"0",AVERAGEIF(D23:O23,"&lt;&gt;0",D23:O23))</f>
      </c>
      <c r="Q23" s="38"/>
    </row>
    <row customHeight="true" ht="19" r="24">
      <c r="A24" s="34">
        <v>22</v>
      </c>
      <c r="B24" s="40" t="str">
        <v>河北南网</v>
      </c>
      <c r="C24" s="39" t="str">
        <v>综合平段电价--电网代购</v>
      </c>
      <c r="D24" s="34">
        <f>IF(D21="/","/",SUM(D19:D23))</f>
      </c>
      <c r="E24" s="34">
        <f>IF(E21="/","/",SUM(E19:E23))</f>
      </c>
      <c r="F24" s="34">
        <f>IF(F21="/","/",SUM(F19:F23))</f>
      </c>
      <c r="G24" s="34">
        <f>IF(G21="/","/",SUM(G19:G23))</f>
      </c>
      <c r="H24" s="34">
        <f>IF(H21="/","/",SUM(H19:H23))</f>
      </c>
      <c r="I24" s="34"/>
      <c r="J24" s="34"/>
      <c r="K24" s="34"/>
      <c r="L24" s="34"/>
      <c r="M24" s="34"/>
      <c r="N24" s="34"/>
      <c r="O24" s="34"/>
      <c r="P24" s="34">
        <f>IF(SUM(D24:O24)=0,"0",AVERAGEIF(D24:O24,"&lt;&gt;0",D24:O24))</f>
      </c>
      <c r="Q24" s="38"/>
    </row>
    <row customHeight="true" ht="19" r="25">
      <c r="A25" s="34">
        <v>23</v>
      </c>
      <c r="B25" s="40" t="str">
        <v>河北南网</v>
      </c>
      <c r="C25" s="39" t="str">
        <v>入市交易购电价格</v>
      </c>
      <c r="D25" s="34">
        <f>'分表7-2026交易价格'!D4</f>
      </c>
      <c r="E25" s="34">
        <f>'分表7-2026交易价格'!E4</f>
      </c>
      <c r="F25" s="34">
        <f>'分表7-2026交易价格'!F4</f>
      </c>
      <c r="G25" s="34">
        <f>'分表7-2026交易价格'!G4</f>
      </c>
      <c r="H25" s="34">
        <f>'分表7-2026交易价格'!H4</f>
      </c>
      <c r="I25" s="34"/>
      <c r="J25" s="34"/>
      <c r="K25" s="34"/>
      <c r="L25" s="34"/>
      <c r="M25" s="34"/>
      <c r="N25" s="34"/>
      <c r="O25" s="34"/>
      <c r="P25" s="34">
        <f>IF(SUM(D25:O25)=0,"0",AVERAGEIF(D25:O25,"&lt;&gt;0",D25:O25))</f>
      </c>
      <c r="Q25" s="38"/>
    </row>
    <row customHeight="true" ht="19" r="26">
      <c r="A26" s="34">
        <v>24</v>
      </c>
      <c r="B26" s="40" t="str">
        <v>河北南网</v>
      </c>
      <c r="C26" s="39" t="str">
        <v>综合平段电价--入市交易</v>
      </c>
      <c r="D26" s="34">
        <f>IF(D21="/","/",IF(D25&gt;0,D25+SUM(D20:D23),"/"))</f>
      </c>
      <c r="E26" s="34">
        <f>IF(E21="/","/",IF(E25&gt;0,E25+SUM(E20:E23),"/"))</f>
      </c>
      <c r="F26" s="34">
        <f>IF(F21="/","/",IF(F25&gt;0,F25+SUM(F20:F23),"/"))</f>
      </c>
      <c r="G26" s="34">
        <f>IF(G21="/","/",IF(G25&gt;0,G25+SUM(G20:G23),"/"))</f>
      </c>
      <c r="H26" s="34">
        <f>IF(H21="/","/",IF(H25&gt;0,H25+SUM(H20:H23),"/"))</f>
      </c>
      <c r="I26" s="34"/>
      <c r="J26" s="34"/>
      <c r="K26" s="34"/>
      <c r="L26" s="34"/>
      <c r="M26" s="34"/>
      <c r="N26" s="34"/>
      <c r="O26" s="34"/>
      <c r="P26" s="34">
        <f>IF(SUM(D26:O26)=0,"0",AVERAGEIF(D26:O26,"&lt;&gt;0",D26:O26))</f>
      </c>
      <c r="Q26" s="38"/>
    </row>
    <row customHeight="true" ht="19" r="27">
      <c r="A27" s="34">
        <v>25</v>
      </c>
      <c r="B27" s="31" t="str">
        <v>冀北</v>
      </c>
      <c r="C27" s="37" t="str">
        <v>代理购电价格</v>
      </c>
      <c r="D27" s="36">
        <f>'分表1-2026电网代购价'!D11</f>
      </c>
      <c r="E27" s="36">
        <f>'分表1-2026电网代购价'!E11</f>
      </c>
      <c r="F27" s="36">
        <f>'分表1-2026电网代购价'!F11</f>
      </c>
      <c r="G27" s="36">
        <f>'分表1-2026电网代购价'!G11</f>
      </c>
      <c r="H27" s="36">
        <f>'分表1-2026电网代购价'!H11</f>
      </c>
      <c r="I27" s="36"/>
      <c r="J27" s="36"/>
      <c r="K27" s="36"/>
      <c r="L27" s="36"/>
      <c r="M27" s="36"/>
      <c r="N27" s="36"/>
      <c r="O27" s="36"/>
      <c r="P27" s="36">
        <f>IF(SUM(D27:O27)=0,"0",AVERAGEIF(D27:O27,"&lt;&gt;0",D27:O27))</f>
      </c>
      <c r="Q27" s="35"/>
    </row>
    <row customHeight="true" ht="19" r="28">
      <c r="A28" s="34">
        <v>26</v>
      </c>
      <c r="B28" s="31" t="str">
        <v>冀北</v>
      </c>
      <c r="C28" s="37" t="str">
        <v>上网环节线损电价</v>
      </c>
      <c r="D28" s="32">
        <f>'分表2-2026上网环节线损'!C5</f>
      </c>
      <c r="E28" s="32">
        <f>'分表2-2026上网环节线损'!D5</f>
      </c>
      <c r="F28" s="32">
        <f>'分表2-2026上网环节线损'!E5</f>
      </c>
      <c r="G28" s="32">
        <f>'分表2-2026上网环节线损'!F5</f>
      </c>
      <c r="H28" s="32">
        <f>'分表2-2026上网环节线损'!G5</f>
      </c>
      <c r="I28" s="32"/>
      <c r="J28" s="33"/>
      <c r="K28" s="32"/>
      <c r="L28" s="32"/>
      <c r="M28" s="32"/>
      <c r="N28" s="32"/>
      <c r="O28" s="32"/>
      <c r="P28" s="36">
        <f>IF(SUM(D28:O28)=0,"0",AVERAGEIF(D28:O28,"&lt;&gt;0",D28:O28))</f>
      </c>
      <c r="Q28" s="35"/>
    </row>
    <row customHeight="true" ht="19" r="29">
      <c r="A29" s="34">
        <v>27</v>
      </c>
      <c r="B29" s="31" t="str">
        <v>冀北</v>
      </c>
      <c r="C29" s="37" t="str">
        <v>电度输配电价</v>
      </c>
      <c r="D29" s="36" cm="1">
        <f t="array" ref="D29:D29">_xlfn.XLOOKUP($C$1,'分表4-电度输配电价'!$C26：'分表4-电度输配电价'!$C33&amp;'分表4-电度输配电价'!$D26：'分表4-电度输配电价'!$D33,'分表4-电度输配电价'!$E26：'分表4-电度输配电价'!$E33)</f>
      </c>
      <c r="E29" s="36" cm="1">
        <f t="array" ref="E29:E29">_xlfn.XLOOKUP($C$1,'分表4-电度输配电价'!$C26：'分表4-电度输配电价'!$C33&amp;'分表4-电度输配电价'!$D26：'分表4-电度输配电价'!$D33,'分表4-电度输配电价'!$E26：'分表4-电度输配电价'!$E33)</f>
      </c>
      <c r="F29" s="36" cm="1">
        <f t="array" ref="F29:F29">_xlfn.XLOOKUP($C$1,'分表4-电度输配电价'!$C26：'分表4-电度输配电价'!$C33&amp;'分表4-电度输配电价'!$D26：'分表4-电度输配电价'!$D33,'分表4-电度输配电价'!$E26：'分表4-电度输配电价'!$E33)</f>
      </c>
      <c r="G29" s="36" cm="1">
        <f t="array" ref="G29:G29">_xlfn.XLOOKUP($C$1,'分表4-电度输配电价'!$C26：'分表4-电度输配电价'!$C33&amp;'分表4-电度输配电价'!$D26：'分表4-电度输配电价'!$D33,'分表4-电度输配电价'!$E26：'分表4-电度输配电价'!$E33)</f>
      </c>
      <c r="H29" s="36" cm="1">
        <f t="array" ref="H29:H29">_xlfn.XLOOKUP($C$1,'分表4-电度输配电价'!$C26：'分表4-电度输配电价'!$C33&amp;'分表4-电度输配电价'!$D26：'分表4-电度输配电价'!$D33,'分表4-电度输配电价'!$E26：'分表4-电度输配电价'!$E33)</f>
      </c>
      <c r="I29" s="32"/>
      <c r="J29" s="33"/>
      <c r="K29" s="32"/>
      <c r="L29" s="32"/>
      <c r="M29" s="32"/>
      <c r="N29" s="32"/>
      <c r="O29" s="32"/>
      <c r="P29" s="36">
        <f>IF(SUM(D29:O29)=0,"0",AVERAGEIF(D29:O29,"&lt;&gt;0",D29:O29))</f>
      </c>
      <c r="Q29" s="35"/>
    </row>
    <row customHeight="true" ht="19" r="30">
      <c r="A30" s="34">
        <v>28</v>
      </c>
      <c r="B30" s="31" t="str">
        <v>冀北</v>
      </c>
      <c r="C30" s="37" t="str">
        <v>政府性基金及附加</v>
      </c>
      <c r="D30" s="36" cm="1">
        <f t="array" ref="D30:D30">_xlfn.XLOOKUP($B$30,'分表5-政府性基金及附加'!$B$2：'分表5-政府性基金及附加'!$B$199,'分表5-政府性基金及附加'!$D$2：'分表5-政府性基金及附加'!$D$199)</f>
      </c>
      <c r="E30" s="36" cm="1">
        <f t="array" ref="E30:E30">_xlfn.XLOOKUP($B$30,'分表5-政府性基金及附加'!$B$2：'分表5-政府性基金及附加'!$B$199,'分表5-政府性基金及附加'!$D$2：'分表5-政府性基金及附加'!$D$199)</f>
      </c>
      <c r="F30" s="36" cm="1">
        <f t="array" ref="F30:F30">_xlfn.XLOOKUP($B$30,'分表5-政府性基金及附加'!$B$2：'分表5-政府性基金及附加'!$B$199,'分表5-政府性基金及附加'!$D$2：'分表5-政府性基金及附加'!$D$199)</f>
      </c>
      <c r="G30" s="36" cm="1">
        <f t="array" ref="G30:G30">_xlfn.XLOOKUP($B$30,'分表5-政府性基金及附加'!$B$2：'分表5-政府性基金及附加'!$B$199,'分表5-政府性基金及附加'!$D$2：'分表5-政府性基金及附加'!$D$199)</f>
      </c>
      <c r="H30" s="36" cm="1">
        <f t="array" ref="H30:H30">_xlfn.XLOOKUP($B$30,'分表5-政府性基金及附加'!$B$2：'分表5-政府性基金及附加'!$B$199,'分表5-政府性基金及附加'!$D$2：'分表5-政府性基金及附加'!$D$199)</f>
      </c>
      <c r="I30" s="32"/>
      <c r="J30" s="33"/>
      <c r="K30" s="32"/>
      <c r="L30" s="32"/>
      <c r="M30" s="32"/>
      <c r="N30" s="32"/>
      <c r="O30" s="32"/>
      <c r="P30" s="36">
        <f>IF(SUM(D30:O30)=0,"0",AVERAGEIF(D30:O30,"&lt;&gt;0",D30:O30))</f>
      </c>
      <c r="Q30" s="35"/>
    </row>
    <row customHeight="true" ht="19" r="31">
      <c r="A31" s="34">
        <v>29</v>
      </c>
      <c r="B31" s="31" t="str">
        <v>冀北</v>
      </c>
      <c r="C31" s="37" t="str">
        <v>系统运行费折价</v>
      </c>
      <c r="D31" s="32">
        <f>'分表3-2026系统运行费'!AQ2</f>
      </c>
      <c r="E31" s="32">
        <f>'分表3-2026系统运行费'!AR2</f>
      </c>
      <c r="F31" s="32">
        <f>'分表3-2026系统运行费'!AS2</f>
      </c>
      <c r="G31" s="32">
        <f>'分表3-2026系统运行费'!AT2</f>
      </c>
      <c r="H31" s="32">
        <f>'分表3-2026系统运行费'!AU2</f>
      </c>
      <c r="I31" s="32"/>
      <c r="J31" s="33"/>
      <c r="K31" s="32"/>
      <c r="L31" s="32"/>
      <c r="M31" s="32"/>
      <c r="N31" s="32"/>
      <c r="O31" s="32"/>
      <c r="P31" s="36">
        <f>IF(SUM(D31:O31)=0,"0",AVERAGEIF(D31:O31,"&lt;&gt;0",D31:O31))</f>
      </c>
      <c r="Q31" s="35"/>
    </row>
    <row customHeight="true" ht="19" r="32">
      <c r="A32" s="34">
        <v>30</v>
      </c>
      <c r="B32" s="31" t="str">
        <v>冀北</v>
      </c>
      <c r="C32" s="37" t="str">
        <v>综合平段电价--电网代购</v>
      </c>
      <c r="D32" s="36">
        <f>IF(D29="/","/",SUM(D27:D31))</f>
      </c>
      <c r="E32" s="36">
        <f>IF(E29="/","/",SUM(E27:E31))</f>
      </c>
      <c r="F32" s="36">
        <f>IF(F29="/","/",SUM(F27:F31))</f>
      </c>
      <c r="G32" s="36">
        <f>IF(G29="/","/",SUM(G27:G31))</f>
      </c>
      <c r="H32" s="36">
        <f>IF(H29="/","/",SUM(H27:H31))</f>
      </c>
      <c r="I32" s="32"/>
      <c r="J32" s="33"/>
      <c r="K32" s="32"/>
      <c r="L32" s="32"/>
      <c r="M32" s="32"/>
      <c r="N32" s="32"/>
      <c r="O32" s="32"/>
      <c r="P32" s="36">
        <f>IF(SUM(D32:O32)=0,"0",AVERAGEIF(D32:O32,"&lt;&gt;0",D32:O32))</f>
      </c>
      <c r="Q32" s="35"/>
    </row>
    <row r="33">
      <c r="A33" s="34">
        <v>31</v>
      </c>
      <c r="B33" s="31" t="str">
        <v>冀北</v>
      </c>
      <c r="C33" s="37" t="str">
        <v>入市交易购电价格</v>
      </c>
      <c r="D33" s="32">
        <f>'分表7-2026交易价格'!D5</f>
      </c>
      <c r="E33" s="32">
        <f>'分表7-2026交易价格'!E5</f>
      </c>
      <c r="F33" s="32">
        <f>'分表7-2026交易价格'!F5</f>
      </c>
      <c r="G33" s="32">
        <f>'分表7-2026交易价格'!G5</f>
      </c>
      <c r="H33" s="32">
        <f>'分表7-2026交易价格'!H5</f>
      </c>
      <c r="I33" s="32"/>
      <c r="J33" s="33"/>
      <c r="K33" s="32"/>
      <c r="L33" s="32"/>
      <c r="M33" s="32"/>
      <c r="N33" s="32"/>
      <c r="O33" s="32"/>
      <c r="P33" s="36">
        <f>IF(SUM(D33:O33)=0,"0",AVERAGEIF(D33:O33,"&lt;&gt;0",D33:O33))</f>
      </c>
      <c r="Q33" s="35"/>
    </row>
    <row r="34">
      <c r="A34" s="34">
        <v>32</v>
      </c>
      <c r="B34" s="31" t="str">
        <v>冀北</v>
      </c>
      <c r="C34" s="37" t="str">
        <v>综合平段电价--入市交易</v>
      </c>
      <c r="D34" s="36">
        <f>IF(D29="/","/",IF(D33&gt;0,D33+SUM(D28:D31),"/"))</f>
      </c>
      <c r="E34" s="36">
        <f>IF(E29="/","/",IF(E33&gt;0,E33+SUM(E28:E31),"/"))</f>
      </c>
      <c r="F34" s="36">
        <f>IF(F29="/","/",IF(F33&gt;0,F33+SUM(F28:F31),"/"))</f>
      </c>
      <c r="G34" s="36">
        <f>IF(G29="/","/",IF(G33&gt;0,G33+SUM(G28:G31),"/"))</f>
      </c>
      <c r="H34" s="36">
        <f>IF(H29="/","/",IF(H33&gt;0,H33+SUM(H28:H31),"/"))</f>
      </c>
      <c r="I34" s="32"/>
      <c r="J34" s="33"/>
      <c r="K34" s="32"/>
      <c r="L34" s="32"/>
      <c r="M34" s="32"/>
      <c r="N34" s="32"/>
      <c r="O34" s="32"/>
      <c r="P34" s="36">
        <f>IF(SUM(D34:O34)=0,"0",AVERAGEIF(D34:O34,"&lt;&gt;0",D34:O34))</f>
      </c>
      <c r="Q34" s="35"/>
    </row>
    <row r="35">
      <c r="A35" s="34">
        <v>33</v>
      </c>
      <c r="B35" s="40" t="str">
        <v>山东</v>
      </c>
      <c r="C35" s="39" t="str">
        <v>代理购电价格</v>
      </c>
      <c r="D35" s="34">
        <f>'分表1-2026电网代购价'!D14</f>
      </c>
      <c r="E35" s="34">
        <f>'分表1-2026电网代购价'!E14</f>
      </c>
      <c r="F35" s="34">
        <f>'分表1-2026电网代购价'!F14</f>
      </c>
      <c r="G35" s="34">
        <f>'分表1-2026电网代购价'!G14</f>
      </c>
      <c r="H35" s="34">
        <f>'分表1-2026电网代购价'!H14</f>
      </c>
      <c r="I35" s="34"/>
      <c r="J35" s="34"/>
      <c r="K35" s="34"/>
      <c r="L35" s="34"/>
      <c r="M35" s="34"/>
      <c r="N35" s="34"/>
      <c r="O35" s="34"/>
      <c r="P35" s="34">
        <f>IF(SUM(D35:O35)=0,"0",AVERAGEIF(D35:O35,"&lt;&gt;0",D35:O35))</f>
      </c>
      <c r="Q35" s="38"/>
    </row>
    <row customHeight="true" ht="19" r="36">
      <c r="A36" s="34">
        <v>34</v>
      </c>
      <c r="B36" s="40" t="str">
        <v>山东</v>
      </c>
      <c r="C36" s="39" t="str">
        <v>上网环节线损电价</v>
      </c>
      <c r="D36" s="34">
        <f>'分表2-2026上网环节线损'!C6</f>
      </c>
      <c r="E36" s="34">
        <f>'分表2-2026上网环节线损'!D6</f>
      </c>
      <c r="F36" s="34">
        <f>'分表2-2026上网环节线损'!E6</f>
      </c>
      <c r="G36" s="34">
        <f>'分表2-2026上网环节线损'!F6</f>
      </c>
      <c r="H36" s="34">
        <f>'分表2-2026上网环节线损'!G6</f>
      </c>
      <c r="I36" s="34"/>
      <c r="J36" s="34"/>
      <c r="K36" s="34"/>
      <c r="L36" s="34"/>
      <c r="M36" s="34"/>
      <c r="N36" s="34"/>
      <c r="O36" s="34"/>
      <c r="P36" s="34">
        <f>IF(SUM(D36:O36)=0,"0",AVERAGEIF(D36:O36,"&lt;&gt;0",D36:O36))</f>
      </c>
      <c r="Q36" s="38"/>
    </row>
    <row customHeight="true" ht="19" r="37">
      <c r="A37" s="34">
        <v>35</v>
      </c>
      <c r="B37" s="40" t="str">
        <v>山东</v>
      </c>
      <c r="C37" s="39" t="str">
        <v>电度输配电价</v>
      </c>
      <c r="D37" s="34" cm="1">
        <f t="array" ref="D37:D37">_xlfn.XLOOKUP($C$1,'分表4-电度输配电价'!$C34：'分表4-电度输配电价'!$C41&amp;'分表4-电度输配电价'!$D34：'分表4-电度输配电价'!$D41,'分表4-电度输配电价'!$E34：'分表4-电度输配电价'!$E41)</f>
      </c>
      <c r="E37" s="34" cm="1">
        <f t="array" ref="E37:E37">_xlfn.XLOOKUP($C$1,'分表4-电度输配电价'!$C34：'分表4-电度输配电价'!$C41&amp;'分表4-电度输配电价'!$D34：'分表4-电度输配电价'!$D41,'分表4-电度输配电价'!$E34：'分表4-电度输配电价'!$E41)</f>
      </c>
      <c r="F37" s="34" cm="1">
        <f t="array" ref="F37:F37">_xlfn.XLOOKUP($C$1,'分表4-电度输配电价'!$C34：'分表4-电度输配电价'!$C41&amp;'分表4-电度输配电价'!$D34：'分表4-电度输配电价'!$D41,'分表4-电度输配电价'!$E34：'分表4-电度输配电价'!$E41)</f>
      </c>
      <c r="G37" s="34" cm="1">
        <f t="array" ref="G37:G37">_xlfn.XLOOKUP($C$1,'分表4-电度输配电价'!$C34：'分表4-电度输配电价'!$C41&amp;'分表4-电度输配电价'!$D34：'分表4-电度输配电价'!$D41,'分表4-电度输配电价'!$E34：'分表4-电度输配电价'!$E41)</f>
      </c>
      <c r="H37" s="34" cm="1">
        <f t="array" ref="H37:H37">_xlfn.XLOOKUP($C$1,'分表4-电度输配电价'!$C34：'分表4-电度输配电价'!$C41&amp;'分表4-电度输配电价'!$D34：'分表4-电度输配电价'!$D41,'分表4-电度输配电价'!$E34：'分表4-电度输配电价'!$E41)</f>
      </c>
      <c r="I37" s="34"/>
      <c r="J37" s="34"/>
      <c r="K37" s="34"/>
      <c r="L37" s="34"/>
      <c r="M37" s="34"/>
      <c r="N37" s="34"/>
      <c r="O37" s="34"/>
      <c r="P37" s="34">
        <f>IF(SUM(D37:O37)=0,"0",AVERAGEIF(D37:O37,"&lt;&gt;0",D37:O37))</f>
      </c>
      <c r="Q37" s="38"/>
    </row>
    <row customHeight="true" ht="19" r="38">
      <c r="A38" s="34">
        <v>36</v>
      </c>
      <c r="B38" s="40" t="str">
        <v>山东</v>
      </c>
      <c r="C38" s="39" t="str">
        <v>政府性基金及附加</v>
      </c>
      <c r="D38" s="34" cm="1">
        <f t="array" ref="D38:D38">_xlfn.XLOOKUP($B$38,'分表5-政府性基金及附加'!$B$2：'分表5-政府性基金及附加'!$B$199,'分表5-政府性基金及附加'!$D$2：'分表5-政府性基金及附加'!$D$199)</f>
      </c>
      <c r="E38" s="34" cm="1">
        <f t="array" ref="E38:E38">_xlfn.XLOOKUP($B$38,'分表5-政府性基金及附加'!$B$2：'分表5-政府性基金及附加'!$B$199,'分表5-政府性基金及附加'!$D$2：'分表5-政府性基金及附加'!$D$199)</f>
      </c>
      <c r="F38" s="34" cm="1">
        <f t="array" ref="F38:F38">_xlfn.XLOOKUP($B$38,'分表5-政府性基金及附加'!$B$2：'分表5-政府性基金及附加'!$B$199,'分表5-政府性基金及附加'!$D$2：'分表5-政府性基金及附加'!$D$199)</f>
      </c>
      <c r="G38" s="34" cm="1">
        <f t="array" ref="G38:G38">_xlfn.XLOOKUP($B$38,'分表5-政府性基金及附加'!$B$2：'分表5-政府性基金及附加'!$B$199,'分表5-政府性基金及附加'!$D$2：'分表5-政府性基金及附加'!$D$199)</f>
      </c>
      <c r="H38" s="34" cm="1">
        <f t="array" ref="H38:H38">_xlfn.XLOOKUP($B$38,'分表5-政府性基金及附加'!$B$2：'分表5-政府性基金及附加'!$B$199,'分表5-政府性基金及附加'!$D$2：'分表5-政府性基金及附加'!$D$199)</f>
      </c>
      <c r="I38" s="34"/>
      <c r="J38" s="34"/>
      <c r="K38" s="34"/>
      <c r="L38" s="34"/>
      <c r="M38" s="34"/>
      <c r="N38" s="34"/>
      <c r="O38" s="34"/>
      <c r="P38" s="34">
        <f>IF(SUM(D38:O38)=0,"0",AVERAGEIF(D38:O38,"&lt;&gt;0",D38:O38))</f>
      </c>
      <c r="Q38" s="38"/>
    </row>
    <row customHeight="true" ht="19" r="39">
      <c r="A39" s="34">
        <v>37</v>
      </c>
      <c r="B39" s="40" t="str">
        <v>山东</v>
      </c>
      <c r="C39" s="39" t="str">
        <v>系统运行费折价</v>
      </c>
      <c r="D39" s="34">
        <f>'分表3-2026系统运行费'!BD2</f>
      </c>
      <c r="E39" s="34">
        <f>'分表3-2026系统运行费'!BE2</f>
      </c>
      <c r="F39" s="34">
        <f>'分表3-2026系统运行费'!BF2</f>
      </c>
      <c r="G39" s="34">
        <f>'分表3-2026系统运行费'!BG2</f>
      </c>
      <c r="H39" s="34">
        <f>'分表3-2026系统运行费'!BH2</f>
      </c>
      <c r="I39" s="34"/>
      <c r="J39" s="34"/>
      <c r="K39" s="34"/>
      <c r="L39" s="34"/>
      <c r="M39" s="34"/>
      <c r="N39" s="34"/>
      <c r="O39" s="34"/>
      <c r="P39" s="34">
        <f>IF(SUM(D39:O39)=0,"0",AVERAGEIF(D39:O39,"&lt;&gt;0",D39:O39))</f>
      </c>
      <c r="Q39" s="38"/>
    </row>
    <row customHeight="true" ht="19" r="40">
      <c r="A40" s="34">
        <v>38</v>
      </c>
      <c r="B40" s="40" t="str">
        <v>山东</v>
      </c>
      <c r="C40" s="39" t="str">
        <v>综合平段电价--电网代购</v>
      </c>
      <c r="D40" s="34">
        <f>IF(D37="/","/",SUM(D35:D39))</f>
      </c>
      <c r="E40" s="34">
        <f>IF(E37="/","/",SUM(E35:E39))</f>
      </c>
      <c r="F40" s="34">
        <f>IF(F37="/","/",SUM(F35:F39))</f>
      </c>
      <c r="G40" s="34">
        <f>IF(G37="/","/",SUM(G35:G39))</f>
      </c>
      <c r="H40" s="34">
        <f>IF(H37="/","/",SUM(H35:H39))</f>
      </c>
      <c r="I40" s="34"/>
      <c r="J40" s="34"/>
      <c r="K40" s="34"/>
      <c r="L40" s="34"/>
      <c r="M40" s="34"/>
      <c r="N40" s="34"/>
      <c r="O40" s="34"/>
      <c r="P40" s="34">
        <f>IF(SUM(D40:O40)=0,"0",AVERAGEIF(D40:O40,"&lt;&gt;0",D40:O40))</f>
      </c>
      <c r="Q40" s="38"/>
    </row>
    <row customHeight="true" ht="19" r="41">
      <c r="A41" s="34">
        <v>39</v>
      </c>
      <c r="B41" s="40" t="str">
        <v>山东</v>
      </c>
      <c r="C41" s="39" t="str">
        <v>入市交易购电价格</v>
      </c>
      <c r="D41" s="34">
        <f>'分表7-2026交易价格'!D6</f>
      </c>
      <c r="E41" s="34">
        <f>'分表7-2026交易价格'!E6</f>
      </c>
      <c r="F41" s="34">
        <f>'分表7-2026交易价格'!F6</f>
      </c>
      <c r="G41" s="34">
        <f>'分表7-2026交易价格'!G6</f>
      </c>
      <c r="H41" s="34">
        <f>'分表7-2026交易价格'!H6</f>
      </c>
      <c r="I41" s="34"/>
      <c r="J41" s="34"/>
      <c r="K41" s="34"/>
      <c r="L41" s="34"/>
      <c r="M41" s="34"/>
      <c r="N41" s="34"/>
      <c r="O41" s="34"/>
      <c r="P41" s="34">
        <f>IF(SUM(D41:O41)=0,"0",AVERAGEIF(D41:O41,"&lt;&gt;0",D41:O41))</f>
      </c>
      <c r="Q41" s="38"/>
    </row>
    <row r="42">
      <c r="A42" s="34">
        <v>40</v>
      </c>
      <c r="B42" s="40" t="str">
        <v>山东</v>
      </c>
      <c r="C42" s="39" t="str">
        <v>综合平段电价--入市交易</v>
      </c>
      <c r="D42" s="34">
        <f>IF(D37="/","/",IF(D41&gt;0,D41+SUM(D36:D39),"/"))</f>
      </c>
      <c r="E42" s="34">
        <f>IF(E37="/","/",IF(E41&gt;0,E41+SUM(E36:E39),"/"))</f>
      </c>
      <c r="F42" s="34">
        <f>IF(F37="/","/",IF(F41&gt;0,F41+SUM(F36:F39),"/"))</f>
      </c>
      <c r="G42" s="34">
        <f>IF(G37="/","/",IF(G41&gt;0,G41+SUM(G36:G39),"/"))</f>
      </c>
      <c r="H42" s="34">
        <f>IF(H37="/","/",IF(H41&gt;0,H41+SUM(H36:H39),"/"))</f>
      </c>
      <c r="I42" s="34"/>
      <c r="J42" s="34"/>
      <c r="K42" s="34"/>
      <c r="L42" s="34"/>
      <c r="M42" s="34"/>
      <c r="N42" s="34"/>
      <c r="O42" s="34"/>
      <c r="P42" s="34">
        <f>IF(SUM(D42:O42)=0,"0",AVERAGEIF(D42:O42,"&lt;&gt;0",D42:O42))</f>
      </c>
      <c r="Q42" s="38"/>
    </row>
    <row customHeight="true" ht="19" r="43">
      <c r="A43" s="34">
        <v>41</v>
      </c>
      <c r="B43" s="31" t="str">
        <v>山西</v>
      </c>
      <c r="C43" s="37" t="str">
        <v>代理购电价格</v>
      </c>
      <c r="D43" s="36">
        <f>'分表1-2026电网代购价'!D18</f>
      </c>
      <c r="E43" s="36">
        <f>'分表1-2026电网代购价'!E18</f>
      </c>
      <c r="F43" s="36">
        <f>'分表1-2026电网代购价'!F18</f>
      </c>
      <c r="G43" s="36">
        <f>'分表1-2026电网代购价'!G18</f>
      </c>
      <c r="H43" s="36">
        <f>'分表1-2026电网代购价'!H18</f>
      </c>
      <c r="I43" s="36"/>
      <c r="J43" s="36"/>
      <c r="K43" s="36"/>
      <c r="L43" s="36"/>
      <c r="M43" s="36"/>
      <c r="N43" s="36"/>
      <c r="O43" s="36"/>
      <c r="P43" s="36">
        <f>IF(SUM(D43:O43)=0,"0",AVERAGEIF(D43:O43,"&lt;&gt;0",D43:O43))</f>
      </c>
      <c r="Q43" s="35"/>
    </row>
    <row customHeight="true" ht="19" r="44">
      <c r="A44" s="34">
        <v>42</v>
      </c>
      <c r="B44" s="31" t="str">
        <v>山西</v>
      </c>
      <c r="C44" s="37" t="str">
        <v>上网环节线损电价</v>
      </c>
      <c r="D44" s="32">
        <f>'分表2-2026上网环节线损'!C7</f>
      </c>
      <c r="E44" s="32">
        <f>'分表2-2026上网环节线损'!D7</f>
      </c>
      <c r="F44" s="32">
        <f>'分表2-2026上网环节线损'!E7</f>
      </c>
      <c r="G44" s="32">
        <f>'分表2-2026上网环节线损'!F7</f>
      </c>
      <c r="H44" s="32">
        <f>'分表2-2026上网环节线损'!G7</f>
      </c>
      <c r="I44" s="32"/>
      <c r="J44" s="33"/>
      <c r="K44" s="32"/>
      <c r="L44" s="32"/>
      <c r="M44" s="32"/>
      <c r="N44" s="32"/>
      <c r="O44" s="32"/>
      <c r="P44" s="36">
        <f>IF(SUM(D44:O44)=0,"0",AVERAGEIF(D44:O44,"&lt;&gt;0",D44:O44))</f>
      </c>
      <c r="Q44" s="35"/>
    </row>
    <row customHeight="true" ht="19" r="45">
      <c r="A45" s="34">
        <v>43</v>
      </c>
      <c r="B45" s="31" t="str">
        <v>山西</v>
      </c>
      <c r="C45" s="37" t="str">
        <v>电度输配电价</v>
      </c>
      <c r="D45" s="36" cm="1">
        <f t="array" ref="D45:D45">_xlfn.XLOOKUP($C$1,'分表4-电度输配电价'!$C42：'分表4-电度输配电价'!$C49&amp;'分表4-电度输配电价'!$D42：'分表4-电度输配电价'!$D49,'分表4-电度输配电价'!$E42：'分表4-电度输配电价'!$E49)</f>
      </c>
      <c r="E45" s="36" cm="1">
        <f t="array" ref="E45:E45">_xlfn.XLOOKUP($C$1,'分表4-电度输配电价'!$C42：'分表4-电度输配电价'!$C49&amp;'分表4-电度输配电价'!$D42：'分表4-电度输配电价'!$D49,'分表4-电度输配电价'!$E42：'分表4-电度输配电价'!$E49)</f>
      </c>
      <c r="F45" s="36" cm="1">
        <f t="array" ref="F45:F45">_xlfn.XLOOKUP($C$1,'分表4-电度输配电价'!$C42：'分表4-电度输配电价'!$C49&amp;'分表4-电度输配电价'!$D42：'分表4-电度输配电价'!$D49,'分表4-电度输配电价'!$E42：'分表4-电度输配电价'!$E49)</f>
      </c>
      <c r="G45" s="36" cm="1">
        <f t="array" ref="G45:G45">_xlfn.XLOOKUP($C$1,'分表4-电度输配电价'!$C42：'分表4-电度输配电价'!$C49&amp;'分表4-电度输配电价'!$D42：'分表4-电度输配电价'!$D49,'分表4-电度输配电价'!$E42：'分表4-电度输配电价'!$E49)</f>
      </c>
      <c r="H45" s="36" cm="1">
        <f t="array" ref="H45:H45">_xlfn.XLOOKUP($C$1,'分表4-电度输配电价'!$C42：'分表4-电度输配电价'!$C49&amp;'分表4-电度输配电价'!$D42：'分表4-电度输配电价'!$D49,'分表4-电度输配电价'!$E42：'分表4-电度输配电价'!$E49)</f>
      </c>
      <c r="I45" s="32"/>
      <c r="J45" s="33"/>
      <c r="K45" s="32"/>
      <c r="L45" s="32"/>
      <c r="M45" s="32"/>
      <c r="N45" s="32"/>
      <c r="O45" s="32"/>
      <c r="P45" s="36">
        <f>IF(SUM(D45:O45)=0,"0",AVERAGEIF(D45:O45,"&lt;&gt;0",D45:O45))</f>
      </c>
      <c r="Q45" s="35"/>
    </row>
    <row customHeight="true" ht="19" r="46">
      <c r="A46" s="34">
        <v>44</v>
      </c>
      <c r="B46" s="31" t="str">
        <v>山西</v>
      </c>
      <c r="C46" s="37" t="str">
        <v>政府性基金及附加</v>
      </c>
      <c r="D46" s="36" cm="1">
        <f t="array" ref="D46:D46">_xlfn.XLOOKUP($B$46,'分表5-政府性基金及附加'!$B$2：'分表5-政府性基金及附加'!$B$199,'分表5-政府性基金及附加'!$D$2：'分表5-政府性基金及附加'!$D$199)</f>
      </c>
      <c r="E46" s="36" cm="1">
        <f t="array" ref="E46:E46">_xlfn.XLOOKUP($B$46,'分表5-政府性基金及附加'!$B$2：'分表5-政府性基金及附加'!$B$199,'分表5-政府性基金及附加'!$D$2：'分表5-政府性基金及附加'!$D$199)</f>
      </c>
      <c r="F46" s="36" cm="1">
        <f t="array" ref="F46:F46">_xlfn.XLOOKUP($B$46,'分表5-政府性基金及附加'!$B$2：'分表5-政府性基金及附加'!$B$199,'分表5-政府性基金及附加'!$D$2：'分表5-政府性基金及附加'!$D$199)</f>
      </c>
      <c r="G46" s="36" cm="1">
        <f t="array" ref="G46:G46">_xlfn.XLOOKUP($B$46,'分表5-政府性基金及附加'!$B$2：'分表5-政府性基金及附加'!$B$199,'分表5-政府性基金及附加'!$D$2：'分表5-政府性基金及附加'!$D$199)</f>
      </c>
      <c r="H46" s="36" cm="1">
        <f t="array" ref="H46:H46">_xlfn.XLOOKUP($B$46,'分表5-政府性基金及附加'!$B$2：'分表5-政府性基金及附加'!$B$199,'分表5-政府性基金及附加'!$D$2：'分表5-政府性基金及附加'!$D$199)</f>
      </c>
      <c r="I46" s="32"/>
      <c r="J46" s="33"/>
      <c r="K46" s="32"/>
      <c r="L46" s="32"/>
      <c r="M46" s="32"/>
      <c r="N46" s="32"/>
      <c r="O46" s="32"/>
      <c r="P46" s="36">
        <f>IF(SUM(D46:O46)=0,"0",AVERAGEIF(D46:O46,"&lt;&gt;0",D46:O46))</f>
      </c>
      <c r="Q46" s="35"/>
    </row>
    <row customHeight="true" ht="19" r="47">
      <c r="A47" s="34">
        <v>45</v>
      </c>
      <c r="B47" s="31" t="str">
        <v>山西</v>
      </c>
      <c r="C47" s="37" t="str">
        <v>系统运行费折价</v>
      </c>
      <c r="D47" s="32">
        <f>'分表3-2026系统运行费'!BQ2</f>
      </c>
      <c r="E47" s="32">
        <f>'分表3-2026系统运行费'!BR2</f>
      </c>
      <c r="F47" s="32">
        <f>'分表3-2026系统运行费'!BS2</f>
      </c>
      <c r="G47" s="32">
        <f>'分表3-2026系统运行费'!BT2</f>
      </c>
      <c r="H47" s="32">
        <f>'分表3-2026系统运行费'!BU2</f>
      </c>
      <c r="I47" s="32"/>
      <c r="J47" s="33"/>
      <c r="K47" s="32"/>
      <c r="L47" s="32"/>
      <c r="M47" s="32"/>
      <c r="N47" s="32"/>
      <c r="O47" s="32"/>
      <c r="P47" s="36">
        <f>IF(SUM(D47:O47)=0,"0",AVERAGEIF(D47:O47,"&lt;&gt;0",D47:O47))</f>
      </c>
      <c r="Q47" s="35"/>
    </row>
    <row customHeight="true" ht="19" r="48">
      <c r="A48" s="34">
        <v>46</v>
      </c>
      <c r="B48" s="31" t="str">
        <v>山西</v>
      </c>
      <c r="C48" s="37" t="str">
        <v>综合平段电价--电网代购</v>
      </c>
      <c r="D48" s="36">
        <f>IF(D45="/","/",SUM(D43:D47))</f>
      </c>
      <c r="E48" s="36">
        <f>IF(E45="/","/",SUM(E43:E47))</f>
      </c>
      <c r="F48" s="36">
        <f>IF(F45="/","/",SUM(F43:F47))</f>
      </c>
      <c r="G48" s="36">
        <f>IF(G45="/","/",SUM(G43:G47))</f>
      </c>
      <c r="H48" s="36">
        <f>IF(H45="/","/",SUM(H43:H47))</f>
      </c>
      <c r="I48" s="32"/>
      <c r="J48" s="33"/>
      <c r="K48" s="32"/>
      <c r="L48" s="32"/>
      <c r="M48" s="32"/>
      <c r="N48" s="32"/>
      <c r="O48" s="32"/>
      <c r="P48" s="36">
        <f>IF(SUM(D48:O48)=0,"0",AVERAGEIF(D48:O48,"&lt;&gt;0",D48:O48))</f>
      </c>
      <c r="Q48" s="35"/>
    </row>
    <row customHeight="true" ht="19" r="49">
      <c r="A49" s="34">
        <v>47</v>
      </c>
      <c r="B49" s="31" t="str">
        <v>山西</v>
      </c>
      <c r="C49" s="37" t="str">
        <v>入市交易购电价格</v>
      </c>
      <c r="D49" s="32">
        <f>'分表7-2026交易价格'!D7</f>
      </c>
      <c r="E49" s="32">
        <f>'分表7-2026交易价格'!E7</f>
      </c>
      <c r="F49" s="32">
        <f>'分表7-2026交易价格'!F7</f>
      </c>
      <c r="G49" s="32">
        <f>'分表7-2026交易价格'!G7</f>
      </c>
      <c r="H49" s="32">
        <f>'分表7-2026交易价格'!H7</f>
      </c>
      <c r="I49" s="32"/>
      <c r="J49" s="33"/>
      <c r="K49" s="32"/>
      <c r="L49" s="32"/>
      <c r="M49" s="32"/>
      <c r="N49" s="32"/>
      <c r="O49" s="32"/>
      <c r="P49" s="36">
        <f>IF(SUM(D49:O49)=0,"0",AVERAGEIF(D49:O49,"&lt;&gt;0",D49:O49))</f>
      </c>
      <c r="Q49" s="35"/>
    </row>
    <row customHeight="true" ht="19" r="50">
      <c r="A50" s="34">
        <v>48</v>
      </c>
      <c r="B50" s="31" t="str">
        <v>山西</v>
      </c>
      <c r="C50" s="37" t="str">
        <v>综合平段电价--入市交易</v>
      </c>
      <c r="D50" s="36">
        <f>IF(D45="/","/",IF(D49&gt;0,D49+SUM(D44:D47),"/"))</f>
      </c>
      <c r="E50" s="36">
        <f>IF(E45="/","/",IF(E49&gt;0,E49+SUM(E44:E47),"/"))</f>
      </c>
      <c r="F50" s="36">
        <f>IF(F45="/","/",IF(F49&gt;0,F49+SUM(F44:F47),"/"))</f>
      </c>
      <c r="G50" s="36">
        <f>IF(G45="/","/",IF(G49&gt;0,G49+SUM(G44:G47),"/"))</f>
      </c>
      <c r="H50" s="36">
        <f>IF(H45="/","/",IF(H49&gt;0,H49+SUM(H44:H47),"/"))</f>
      </c>
      <c r="I50" s="32"/>
      <c r="J50" s="33"/>
      <c r="K50" s="32"/>
      <c r="L50" s="32"/>
      <c r="M50" s="32"/>
      <c r="N50" s="32"/>
      <c r="O50" s="32"/>
      <c r="P50" s="36">
        <f>IF(SUM(D50:O50)=0,"0",AVERAGEIF(D50:O50,"&lt;&gt;0",D50:O50))</f>
      </c>
      <c r="Q50" s="35"/>
    </row>
    <row customHeight="true" ht="19" r="51">
      <c r="A51" s="34">
        <v>49</v>
      </c>
      <c r="B51" s="40" t="str">
        <v>蒙西</v>
      </c>
      <c r="C51" s="39" t="str">
        <v>代理购电价格</v>
      </c>
      <c r="D51" s="34">
        <f>'分表1-2026电网代购价'!D21</f>
      </c>
      <c r="E51" s="34">
        <f>'分表1-2026电网代购价'!E21</f>
      </c>
      <c r="F51" s="34">
        <f>'分表1-2026电网代购价'!F21</f>
      </c>
      <c r="G51" s="34">
        <f>'分表1-2026电网代购价'!G21</f>
      </c>
      <c r="H51" s="34">
        <f>'分表1-2026电网代购价'!H21</f>
      </c>
      <c r="I51" s="34"/>
      <c r="J51" s="34"/>
      <c r="K51" s="34"/>
      <c r="L51" s="34"/>
      <c r="M51" s="34"/>
      <c r="N51" s="34"/>
      <c r="O51" s="34"/>
      <c r="P51" s="34">
        <f>IF(SUM(D51:O51)=0,"0",AVERAGEIF(D51:O51,"&lt;&gt;0",D51:O51))</f>
      </c>
      <c r="Q51" s="38"/>
    </row>
    <row customHeight="true" ht="19" r="52">
      <c r="A52" s="34">
        <v>50</v>
      </c>
      <c r="B52" s="40" t="str">
        <v>蒙西</v>
      </c>
      <c r="C52" s="39" t="str">
        <v>上网环节线损电价</v>
      </c>
      <c r="D52" s="34">
        <f>'分表2-2026上网环节线损'!C8</f>
      </c>
      <c r="E52" s="34">
        <f>'分表2-2026上网环节线损'!D8</f>
      </c>
      <c r="F52" s="34">
        <f>'分表2-2026上网环节线损'!E8</f>
      </c>
      <c r="G52" s="34">
        <f>'分表2-2026上网环节线损'!F8</f>
      </c>
      <c r="H52" s="34">
        <f>'分表2-2026上网环节线损'!G8</f>
      </c>
      <c r="I52" s="34"/>
      <c r="J52" s="34"/>
      <c r="K52" s="34"/>
      <c r="L52" s="34"/>
      <c r="M52" s="34"/>
      <c r="N52" s="34"/>
      <c r="O52" s="34"/>
      <c r="P52" s="34">
        <f>IF(SUM(D52:O52)=0,"0",AVERAGEIF(D52:O52,"&lt;&gt;0",D52:O52))</f>
      </c>
      <c r="Q52" s="38"/>
    </row>
    <row customHeight="true" ht="19" r="53">
      <c r="A53" s="34">
        <v>51</v>
      </c>
      <c r="B53" s="40" t="str">
        <v>蒙西</v>
      </c>
      <c r="C53" s="39" t="str">
        <v>电度输配电价</v>
      </c>
      <c r="D53" s="34" cm="1">
        <f t="array" ref="D53:D53">_xlfn.XLOOKUP($C$1,'分表4-电度输配电价'!$C50：'分表4-电度输配电价'!$C57&amp;'分表4-电度输配电价'!$D50：'分表4-电度输配电价'!$D57,'分表4-电度输配电价'!$E50：'分表4-电度输配电价'!$E57)</f>
      </c>
      <c r="E53" s="34" cm="1">
        <f t="array" ref="E53:E53">_xlfn.XLOOKUP($C$1,'分表4-电度输配电价'!$C50：'分表4-电度输配电价'!$C57&amp;'分表4-电度输配电价'!$D50：'分表4-电度输配电价'!$D57,'分表4-电度输配电价'!$E50：'分表4-电度输配电价'!$E57)</f>
      </c>
      <c r="F53" s="34" cm="1">
        <f t="array" ref="F53:F53">_xlfn.XLOOKUP($C$1,'分表4-电度输配电价'!$C50：'分表4-电度输配电价'!$C57&amp;'分表4-电度输配电价'!$D50：'分表4-电度输配电价'!$D57,'分表4-电度输配电价'!$E50：'分表4-电度输配电价'!$E57)</f>
      </c>
      <c r="G53" s="34" cm="1">
        <f t="array" ref="G53:G53">_xlfn.XLOOKUP($C$1,'分表4-电度输配电价'!$C50：'分表4-电度输配电价'!$C57&amp;'分表4-电度输配电价'!$D50：'分表4-电度输配电价'!$D57,'分表4-电度输配电价'!$E50：'分表4-电度输配电价'!$E57)</f>
      </c>
      <c r="H53" s="34" cm="1">
        <f t="array" ref="H53:H53">_xlfn.XLOOKUP($C$1,'分表4-电度输配电价'!$C50：'分表4-电度输配电价'!$C57&amp;'分表4-电度输配电价'!$D50：'分表4-电度输配电价'!$D57,'分表4-电度输配电价'!$E50：'分表4-电度输配电价'!$E57)</f>
      </c>
      <c r="I53" s="34"/>
      <c r="J53" s="34"/>
      <c r="K53" s="34"/>
      <c r="L53" s="34"/>
      <c r="M53" s="34"/>
      <c r="N53" s="34"/>
      <c r="O53" s="34"/>
      <c r="P53" s="34">
        <f>IF(SUM(D53:O53)=0,"0",AVERAGEIF(D53:O53,"&lt;&gt;0",D53:O53))</f>
      </c>
      <c r="Q53" s="38"/>
    </row>
    <row customHeight="true" ht="19" r="54">
      <c r="A54" s="34">
        <v>52</v>
      </c>
      <c r="B54" s="40" t="str">
        <v>蒙西</v>
      </c>
      <c r="C54" s="39" t="str">
        <v>政府性基金及附加</v>
      </c>
      <c r="D54" s="34" cm="1">
        <f t="array" ref="D54:D54">_xlfn.XLOOKUP($B$54,'分表5-政府性基金及附加'!$B$2：'分表5-政府性基金及附加'!$B$199,'分表5-政府性基金及附加'!$D$2：'分表5-政府性基金及附加'!$D$199)</f>
      </c>
      <c r="E54" s="34" cm="1">
        <f t="array" ref="E54:E54">_xlfn.XLOOKUP($B$54,'分表5-政府性基金及附加'!$B$2：'分表5-政府性基金及附加'!$B$199,'分表5-政府性基金及附加'!$D$2：'分表5-政府性基金及附加'!$D$199)</f>
      </c>
      <c r="F54" s="34" cm="1">
        <f t="array" ref="F54:F54">_xlfn.XLOOKUP($B$54,'分表5-政府性基金及附加'!$B$2：'分表5-政府性基金及附加'!$B$199,'分表5-政府性基金及附加'!$D$2：'分表5-政府性基金及附加'!$D$199)</f>
      </c>
      <c r="G54" s="34" cm="1">
        <f t="array" ref="G54:G54">_xlfn.XLOOKUP($B$54,'分表5-政府性基金及附加'!$B$2：'分表5-政府性基金及附加'!$B$199,'分表5-政府性基金及附加'!$D$2：'分表5-政府性基金及附加'!$D$199)</f>
      </c>
      <c r="H54" s="34" cm="1">
        <f t="array" ref="H54:H54">_xlfn.XLOOKUP($B$54,'分表5-政府性基金及附加'!$B$2：'分表5-政府性基金及附加'!$B$199,'分表5-政府性基金及附加'!$D$2：'分表5-政府性基金及附加'!$D$199)</f>
      </c>
      <c r="I54" s="34"/>
      <c r="J54" s="34"/>
      <c r="K54" s="34"/>
      <c r="L54" s="34"/>
      <c r="M54" s="34"/>
      <c r="N54" s="34"/>
      <c r="O54" s="34"/>
      <c r="P54" s="34">
        <f>IF(SUM(D54:O54)=0,"0",AVERAGEIF(D54:O54,"&lt;&gt;0",D54:O54))</f>
      </c>
      <c r="Q54" s="38"/>
    </row>
    <row customHeight="true" ht="19" r="55">
      <c r="A55" s="34">
        <v>53</v>
      </c>
      <c r="B55" s="40" t="str">
        <v>蒙西</v>
      </c>
      <c r="C55" s="39" t="str">
        <v>系统运行费折价</v>
      </c>
      <c r="D55" s="34">
        <f>'分表3-2026系统运行费'!CD2</f>
      </c>
      <c r="E55" s="34">
        <f>'分表3-2026系统运行费'!CE2</f>
      </c>
      <c r="F55" s="34">
        <f>'分表3-2026系统运行费'!CF2</f>
      </c>
      <c r="G55" s="34">
        <f>'分表3-2026系统运行费'!CG2</f>
      </c>
      <c r="H55" s="34">
        <f>'分表3-2026系统运行费'!CH2</f>
      </c>
      <c r="I55" s="34"/>
      <c r="J55" s="34"/>
      <c r="K55" s="34"/>
      <c r="L55" s="34"/>
      <c r="M55" s="34"/>
      <c r="N55" s="34"/>
      <c r="O55" s="34"/>
      <c r="P55" s="34">
        <f>IF(SUM(D55:O55)=0,"0",AVERAGEIF(D55:O55,"&lt;&gt;0",D55:O55))</f>
      </c>
      <c r="Q55" s="38"/>
    </row>
    <row customHeight="true" ht="19" r="56">
      <c r="A56" s="34">
        <v>54</v>
      </c>
      <c r="B56" s="40" t="str">
        <v>蒙西</v>
      </c>
      <c r="C56" s="39" t="str">
        <v>综合平段电价--电网代购</v>
      </c>
      <c r="D56" s="34">
        <f>IF(D53="/","/",SUM(D51:D55))</f>
      </c>
      <c r="E56" s="34">
        <f>IF(E53="/","/",SUM(E51:E55))</f>
      </c>
      <c r="F56" s="34">
        <f>IF(F53="/","/",SUM(F51:F55))</f>
      </c>
      <c r="G56" s="34">
        <f>IF(G53="/","/",SUM(G51:G55))</f>
      </c>
      <c r="H56" s="34">
        <f>IF(H53="/","/",SUM(H51:H55))</f>
      </c>
      <c r="I56" s="34"/>
      <c r="J56" s="34"/>
      <c r="K56" s="34"/>
      <c r="L56" s="34"/>
      <c r="M56" s="34"/>
      <c r="N56" s="34"/>
      <c r="O56" s="34"/>
      <c r="P56" s="34">
        <f>IF(SUM(D56:O56)=0,"0",AVERAGEIF(D56:O56,"&lt;&gt;0",D56:O56))</f>
      </c>
      <c r="Q56" s="38"/>
    </row>
    <row customHeight="true" ht="19" r="57">
      <c r="A57" s="34">
        <v>55</v>
      </c>
      <c r="B57" s="40" t="str">
        <v>蒙西</v>
      </c>
      <c r="C57" s="39" t="str">
        <v>入市交易购电价格</v>
      </c>
      <c r="D57" s="34">
        <f>'分表7-2026交易价格'!D8</f>
      </c>
      <c r="E57" s="34">
        <f>'分表7-2026交易价格'!E8</f>
      </c>
      <c r="F57" s="34">
        <f>'分表7-2026交易价格'!F8</f>
      </c>
      <c r="G57" s="34">
        <f>'分表7-2026交易价格'!G8</f>
      </c>
      <c r="H57" s="34">
        <f>'分表7-2026交易价格'!H8</f>
      </c>
      <c r="I57" s="34"/>
      <c r="J57" s="34"/>
      <c r="K57" s="34"/>
      <c r="L57" s="34"/>
      <c r="M57" s="34"/>
      <c r="N57" s="34"/>
      <c r="O57" s="34"/>
      <c r="P57" s="34">
        <f>IF(SUM(D57:O57)=0,"0",AVERAGEIF(D57:O57,"&lt;&gt;0",D57:O57))</f>
      </c>
      <c r="Q57" s="38"/>
    </row>
    <row customHeight="true" ht="19" r="58">
      <c r="A58" s="34">
        <v>56</v>
      </c>
      <c r="B58" s="40" t="str">
        <v>蒙西</v>
      </c>
      <c r="C58" s="39" t="str">
        <v>综合平段电价--入市交易</v>
      </c>
      <c r="D58" s="34">
        <f>IF(D53="/","/",IF(D57&gt;0,D57+SUM(D52:D55),"/"))</f>
      </c>
      <c r="E58" s="34">
        <f>IF(E53="/","/",IF(E57&gt;0,E57+SUM(E52:E55),"/"))</f>
      </c>
      <c r="F58" s="34">
        <f>IF(F53="/","/",IF(F57&gt;0,F57+SUM(F52:F55),"/"))</f>
      </c>
      <c r="G58" s="34">
        <f>IF(G53="/","/",IF(G57&gt;0,G57+SUM(G52:G55),"/"))</f>
      </c>
      <c r="H58" s="34">
        <f>IF(H53="/","/",IF(H57&gt;0,H57+SUM(H52:H55),"/"))</f>
      </c>
      <c r="I58" s="34"/>
      <c r="J58" s="34"/>
      <c r="K58" s="34"/>
      <c r="L58" s="34"/>
      <c r="M58" s="34"/>
      <c r="N58" s="34"/>
      <c r="O58" s="34"/>
      <c r="P58" s="34">
        <f>IF(SUM(D58:O58)=0,"0",AVERAGEIF(D58:O58,"&lt;&gt;0",D58:O58))</f>
      </c>
      <c r="Q58" s="38"/>
    </row>
    <row customHeight="true" ht="19" r="59">
      <c r="A59" s="34">
        <v>57</v>
      </c>
      <c r="B59" s="31" t="str">
        <v>上海</v>
      </c>
      <c r="C59" s="37" t="str">
        <v>代理购电价格</v>
      </c>
      <c r="D59" s="36">
        <f>'分表1-2026电网代购价'!D24</f>
      </c>
      <c r="E59" s="36">
        <f>'分表1-2026电网代购价'!E24</f>
      </c>
      <c r="F59" s="36">
        <f>'分表1-2026电网代购价'!F24</f>
      </c>
      <c r="G59" s="36">
        <f>'分表1-2026电网代购价'!G24</f>
      </c>
      <c r="H59" s="36">
        <f>'分表1-2026电网代购价'!H24</f>
      </c>
      <c r="I59" s="36"/>
      <c r="J59" s="36"/>
      <c r="K59" s="36"/>
      <c r="L59" s="36"/>
      <c r="M59" s="36"/>
      <c r="N59" s="36"/>
      <c r="O59" s="36"/>
      <c r="P59" s="36">
        <f>IF(SUM(D59:O59)=0,"0",AVERAGEIF(D59:O59,"&lt;&gt;0",D59:O59))</f>
      </c>
      <c r="Q59" s="35"/>
    </row>
    <row customHeight="true" ht="19" r="60">
      <c r="A60" s="34">
        <v>58</v>
      </c>
      <c r="B60" s="31" t="str">
        <v>上海</v>
      </c>
      <c r="C60" s="37" t="str">
        <v>上网环节线损电价</v>
      </c>
      <c r="D60" s="32">
        <f>'分表2-2026上网环节线损'!C9</f>
      </c>
      <c r="E60" s="32">
        <f>'分表2-2026上网环节线损'!D9</f>
      </c>
      <c r="F60" s="32">
        <f>'分表2-2026上网环节线损'!E9</f>
      </c>
      <c r="G60" s="32">
        <f>'分表2-2026上网环节线损'!F9</f>
      </c>
      <c r="H60" s="32">
        <f>'分表2-2026上网环节线损'!G9</f>
      </c>
      <c r="I60" s="32"/>
      <c r="J60" s="33"/>
      <c r="K60" s="32"/>
      <c r="L60" s="32"/>
      <c r="M60" s="32"/>
      <c r="N60" s="32"/>
      <c r="O60" s="32"/>
      <c r="P60" s="36">
        <f>IF(SUM(D60:O60)=0,"0",AVERAGEIF(D60:O60,"&lt;&gt;0",D60:O60))</f>
      </c>
      <c r="Q60" s="35"/>
    </row>
    <row customHeight="true" ht="19" r="61">
      <c r="A61" s="34">
        <v>59</v>
      </c>
      <c r="B61" s="31" t="str">
        <v>上海</v>
      </c>
      <c r="C61" s="37" t="str">
        <v>电度输配电价</v>
      </c>
      <c r="D61" s="36" cm="1">
        <f t="array" ref="D61:D61">_xlfn.XLOOKUP($C$1,'分表4-电度输配电价'!$C58：'分表4-电度输配电价'!$C65&amp;'分表4-电度输配电价'!$D58：'分表4-电度输配电价'!$D65,'分表4-电度输配电价'!$E58：'分表4-电度输配电价'!$E65)</f>
      </c>
      <c r="E61" s="36" cm="1">
        <f t="array" ref="E61:E61">_xlfn.XLOOKUP($C$1,'分表4-电度输配电价'!$C58：'分表4-电度输配电价'!$C65&amp;'分表4-电度输配电价'!$D58：'分表4-电度输配电价'!$D65,'分表4-电度输配电价'!$E58：'分表4-电度输配电价'!$E65)</f>
      </c>
      <c r="F61" s="36" cm="1">
        <f t="array" ref="F61:F61">_xlfn.XLOOKUP($C$1,'分表4-电度输配电价'!$C58：'分表4-电度输配电价'!$C65&amp;'分表4-电度输配电价'!$D58：'分表4-电度输配电价'!$D65,'分表4-电度输配电价'!$E58：'分表4-电度输配电价'!$E65)</f>
      </c>
      <c r="G61" s="36" cm="1">
        <f t="array" ref="G61:G61">_xlfn.XLOOKUP($C$1,'分表4-电度输配电价'!$C58：'分表4-电度输配电价'!$C65&amp;'分表4-电度输配电价'!$D58：'分表4-电度输配电价'!$D65,'分表4-电度输配电价'!$E58：'分表4-电度输配电价'!$E65)</f>
      </c>
      <c r="H61" s="36" cm="1">
        <f t="array" ref="H61:H61">_xlfn.XLOOKUP($C$1,'分表4-电度输配电价'!$C58：'分表4-电度输配电价'!$C65&amp;'分表4-电度输配电价'!$D58：'分表4-电度输配电价'!$D65,'分表4-电度输配电价'!$E58：'分表4-电度输配电价'!$E65)</f>
      </c>
      <c r="I61" s="32"/>
      <c r="J61" s="33"/>
      <c r="K61" s="32"/>
      <c r="L61" s="32"/>
      <c r="M61" s="32"/>
      <c r="N61" s="32"/>
      <c r="O61" s="32"/>
      <c r="P61" s="36">
        <f>IF(SUM(D61:O61)=0,"0",AVERAGEIF(D61:O61,"&lt;&gt;0",D61:O61))</f>
      </c>
      <c r="Q61" s="35"/>
    </row>
    <row customHeight="true" ht="19" r="62">
      <c r="A62" s="34">
        <v>60</v>
      </c>
      <c r="B62" s="31" t="str">
        <v>上海</v>
      </c>
      <c r="C62" s="37" t="str">
        <v>政府性基金及附加</v>
      </c>
      <c r="D62" s="36" cm="1">
        <f t="array" ref="D62:D62">_xlfn.XLOOKUP($B$62,'分表5-政府性基金及附加'!$B$2：'分表5-政府性基金及附加'!$B$199,'分表5-政府性基金及附加'!$D$2：'分表5-政府性基金及附加'!$D$199)</f>
      </c>
      <c r="E62" s="36" cm="1">
        <f t="array" ref="E62:E62">_xlfn.XLOOKUP($B$62,'分表5-政府性基金及附加'!$B$2：'分表5-政府性基金及附加'!$B$199,'分表5-政府性基金及附加'!$D$2：'分表5-政府性基金及附加'!$D$199)</f>
      </c>
      <c r="F62" s="36" cm="1">
        <f t="array" ref="F62:F62">_xlfn.XLOOKUP($B$62,'分表5-政府性基金及附加'!$B$2：'分表5-政府性基金及附加'!$B$199,'分表5-政府性基金及附加'!$D$2：'分表5-政府性基金及附加'!$D$199)</f>
      </c>
      <c r="G62" s="36" cm="1">
        <f t="array" ref="G62:G62">_xlfn.XLOOKUP($B$62,'分表5-政府性基金及附加'!$B$2：'分表5-政府性基金及附加'!$B$199,'分表5-政府性基金及附加'!$D$2：'分表5-政府性基金及附加'!$D$199)</f>
      </c>
      <c r="H62" s="36" cm="1">
        <f t="array" ref="H62:H62">_xlfn.XLOOKUP($B$62,'分表5-政府性基金及附加'!$B$2：'分表5-政府性基金及附加'!$B$199,'分表5-政府性基金及附加'!$D$2：'分表5-政府性基金及附加'!$D$199)</f>
      </c>
      <c r="I62" s="32"/>
      <c r="J62" s="33"/>
      <c r="K62" s="32"/>
      <c r="L62" s="32"/>
      <c r="M62" s="32"/>
      <c r="N62" s="32"/>
      <c r="O62" s="32"/>
      <c r="P62" s="36">
        <f>IF(SUM(D62:O62)=0,"0",AVERAGEIF(D62:O62,"&lt;&gt;0",D62:O62))</f>
      </c>
      <c r="Q62" s="35"/>
    </row>
    <row customHeight="true" ht="19" r="63">
      <c r="A63" s="34">
        <v>61</v>
      </c>
      <c r="B63" s="31" t="str">
        <v>上海</v>
      </c>
      <c r="C63" s="37" t="str">
        <v>系统运行费折价</v>
      </c>
      <c r="D63" s="32">
        <f>'分表3-2026系统运行费'!CQ2</f>
      </c>
      <c r="E63" s="32">
        <f>'分表3-2026系统运行费'!CR2</f>
      </c>
      <c r="F63" s="32">
        <f>'分表3-2026系统运行费'!CS2</f>
      </c>
      <c r="G63" s="32">
        <f>'分表3-2026系统运行费'!CT2</f>
      </c>
      <c r="H63" s="32">
        <f>'分表3-2026系统运行费'!CU2</f>
      </c>
      <c r="I63" s="32"/>
      <c r="J63" s="33"/>
      <c r="K63" s="32"/>
      <c r="L63" s="32"/>
      <c r="M63" s="32"/>
      <c r="N63" s="32"/>
      <c r="O63" s="32"/>
      <c r="P63" s="36">
        <f>IF(SUM(D63:O63)=0,"0",AVERAGEIF(D63:O63,"&lt;&gt;0",D63:O63))</f>
      </c>
      <c r="Q63" s="35"/>
    </row>
    <row customHeight="true" ht="19" r="64">
      <c r="A64" s="34">
        <v>62</v>
      </c>
      <c r="B64" s="31" t="str">
        <v>上海</v>
      </c>
      <c r="C64" s="37" t="str">
        <v>综合平段电价--电网代购</v>
      </c>
      <c r="D64" s="36">
        <f>IF(D61="/","/",SUM(D59:D63))</f>
      </c>
      <c r="E64" s="36">
        <f>IF(E61="/","/",SUM(E59:E63))</f>
      </c>
      <c r="F64" s="36">
        <f>IF(F61="/","/",SUM(F59:F63))</f>
      </c>
      <c r="G64" s="36">
        <f>IF(G61="/","/",SUM(G59:G63))</f>
      </c>
      <c r="H64" s="36">
        <f>IF(H61="/","/",SUM(H59:H63))</f>
      </c>
      <c r="I64" s="32"/>
      <c r="J64" s="33"/>
      <c r="K64" s="32"/>
      <c r="L64" s="32"/>
      <c r="M64" s="32"/>
      <c r="N64" s="32"/>
      <c r="O64" s="32"/>
      <c r="P64" s="36">
        <f>IF(SUM(D64:O64)=0,"0",AVERAGEIF(D64:O64,"&lt;&gt;0",D64:O64))</f>
      </c>
      <c r="Q64" s="35"/>
    </row>
    <row customHeight="true" ht="19" r="65">
      <c r="A65" s="34">
        <v>63</v>
      </c>
      <c r="B65" s="31" t="str">
        <v>上海</v>
      </c>
      <c r="C65" s="37" t="str">
        <v>入市交易购电价格</v>
      </c>
      <c r="D65" s="32">
        <f>'分表7-2026交易价格'!D9</f>
      </c>
      <c r="E65" s="32">
        <f>'分表7-2026交易价格'!E9</f>
      </c>
      <c r="F65" s="32">
        <f>'分表7-2026交易价格'!F9</f>
      </c>
      <c r="G65" s="32">
        <f>'分表7-2026交易价格'!G9</f>
      </c>
      <c r="H65" s="32">
        <f>'分表7-2026交易价格'!H9</f>
      </c>
      <c r="I65" s="32"/>
      <c r="J65" s="33"/>
      <c r="K65" s="32"/>
      <c r="L65" s="32"/>
      <c r="M65" s="32"/>
      <c r="N65" s="32"/>
      <c r="O65" s="32"/>
      <c r="P65" s="36">
        <f>IF(SUM(D65:O65)=0,"0",AVERAGEIF(D65:O65,"&lt;&gt;0",D65:O65))</f>
      </c>
      <c r="Q65" s="35"/>
    </row>
    <row customHeight="true" ht="19" r="66">
      <c r="A66" s="34">
        <v>64</v>
      </c>
      <c r="B66" s="31" t="str">
        <v>上海</v>
      </c>
      <c r="C66" s="37" t="str">
        <v>综合平段电价--入市交易</v>
      </c>
      <c r="D66" s="36">
        <f>IF(D61="/","/",IF(D65&gt;0,D65+SUM(D60:D63),"/"))</f>
      </c>
      <c r="E66" s="36">
        <f>IF(E61="/","/",IF(E65&gt;0,E65+SUM(E60:E63),"/"))</f>
      </c>
      <c r="F66" s="36">
        <f>IF(F61="/","/",IF(F65&gt;0,F65+SUM(F60:F63),"/"))</f>
      </c>
      <c r="G66" s="36">
        <f>IF(G61="/","/",IF(G65&gt;0,G65+SUM(G60:G63),"/"))</f>
      </c>
      <c r="H66" s="36">
        <f>IF(H61="/","/",IF(H65&gt;0,H65+SUM(H60:H63),"/"))</f>
      </c>
      <c r="I66" s="32"/>
      <c r="J66" s="33"/>
      <c r="K66" s="32"/>
      <c r="L66" s="32"/>
      <c r="M66" s="32"/>
      <c r="N66" s="32"/>
      <c r="O66" s="32"/>
      <c r="P66" s="36">
        <f>IF(SUM(D66:O66)=0,"0",AVERAGEIF(D66:O66,"&lt;&gt;0",D66:O66))</f>
      </c>
      <c r="Q66" s="35"/>
    </row>
    <row customHeight="true" ht="19" r="67">
      <c r="A67" s="34">
        <v>65</v>
      </c>
      <c r="B67" s="40" t="str">
        <v>江苏</v>
      </c>
      <c r="C67" s="39" t="str">
        <v>代理购电价格</v>
      </c>
      <c r="D67" s="34">
        <f>'分表1-2026电网代购价'!D27</f>
      </c>
      <c r="E67" s="34">
        <f>'分表1-2026电网代购价'!E27</f>
      </c>
      <c r="F67" s="34">
        <f>'分表1-2026电网代购价'!F27</f>
      </c>
      <c r="G67" s="34">
        <f>'分表1-2026电网代购价'!G27</f>
      </c>
      <c r="H67" s="34">
        <f>'分表1-2026电网代购价'!H27</f>
      </c>
      <c r="I67" s="34"/>
      <c r="J67" s="34"/>
      <c r="K67" s="34"/>
      <c r="L67" s="34"/>
      <c r="M67" s="34"/>
      <c r="N67" s="34"/>
      <c r="O67" s="34"/>
      <c r="P67" s="34">
        <f>IF(SUM(D67:O67)=0,"0",AVERAGEIF(D67:O67,"&lt;&gt;0",D67:O67))</f>
      </c>
      <c r="Q67" s="38"/>
    </row>
    <row customHeight="true" ht="19" r="68">
      <c r="A68" s="34">
        <v>66</v>
      </c>
      <c r="B68" s="40" t="str">
        <v>江苏</v>
      </c>
      <c r="C68" s="39" t="str">
        <v>上网环节线损电价</v>
      </c>
      <c r="D68" s="34">
        <f>'分表2-2026上网环节线损'!C10</f>
      </c>
      <c r="E68" s="34">
        <f>'分表2-2026上网环节线损'!D10</f>
      </c>
      <c r="F68" s="34">
        <f>'分表2-2026上网环节线损'!E10</f>
      </c>
      <c r="G68" s="34">
        <f>'分表2-2026上网环节线损'!F10</f>
      </c>
      <c r="H68" s="34">
        <f>'分表2-2026上网环节线损'!G10</f>
      </c>
      <c r="I68" s="34"/>
      <c r="J68" s="34"/>
      <c r="K68" s="34"/>
      <c r="L68" s="34"/>
      <c r="M68" s="34"/>
      <c r="N68" s="34"/>
      <c r="O68" s="34"/>
      <c r="P68" s="34">
        <f>IF(SUM(D68:O68)=0,"0",AVERAGEIF(D68:O68,"&lt;&gt;0",D68:O68))</f>
      </c>
      <c r="Q68" s="38"/>
    </row>
    <row customHeight="true" ht="19" r="69">
      <c r="A69" s="34">
        <v>67</v>
      </c>
      <c r="B69" s="40" t="str">
        <v>江苏</v>
      </c>
      <c r="C69" s="39" t="str">
        <v>电度输配电价</v>
      </c>
      <c r="D69" s="34" cm="1">
        <f t="array" ref="D69:D69">_xlfn.XLOOKUP($C$1,'分表4-电度输配电价'!$C66：'分表4-电度输配电价'!$C73&amp;'分表4-电度输配电价'!$D66：'分表4-电度输配电价'!$D73,'分表4-电度输配电价'!$E66：'分表4-电度输配电价'!$E73)</f>
      </c>
      <c r="E69" s="34" cm="1">
        <f t="array" ref="E69:E69">_xlfn.XLOOKUP($C$1,'分表4-电度输配电价'!$C66：'分表4-电度输配电价'!$C73&amp;'分表4-电度输配电价'!$D66：'分表4-电度输配电价'!$D73,'分表4-电度输配电价'!$E66：'分表4-电度输配电价'!$E73)</f>
      </c>
      <c r="F69" s="34" cm="1">
        <f t="array" ref="F69:F69">_xlfn.XLOOKUP($C$1,'分表4-电度输配电价'!$C66：'分表4-电度输配电价'!$C73&amp;'分表4-电度输配电价'!$D66：'分表4-电度输配电价'!$D73,'分表4-电度输配电价'!$E66：'分表4-电度输配电价'!$E73)</f>
      </c>
      <c r="G69" s="34" cm="1">
        <f t="array" ref="G69:G69">_xlfn.XLOOKUP($C$1,'分表4-电度输配电价'!$C66：'分表4-电度输配电价'!$C73&amp;'分表4-电度输配电价'!$D66：'分表4-电度输配电价'!$D73,'分表4-电度输配电价'!$E66：'分表4-电度输配电价'!$E73)</f>
      </c>
      <c r="H69" s="34" cm="1">
        <f t="array" ref="H69:H69">_xlfn.XLOOKUP($C$1,'分表4-电度输配电价'!$C66：'分表4-电度输配电价'!$C73&amp;'分表4-电度输配电价'!$D66：'分表4-电度输配电价'!$D73,'分表4-电度输配电价'!$E66：'分表4-电度输配电价'!$E73)</f>
      </c>
      <c r="I69" s="34"/>
      <c r="J69" s="34"/>
      <c r="K69" s="34"/>
      <c r="L69" s="34"/>
      <c r="M69" s="34"/>
      <c r="N69" s="34"/>
      <c r="O69" s="34"/>
      <c r="P69" s="34">
        <f>IF(SUM(D69:O69)=0,"0",AVERAGEIF(D69:O69,"&lt;&gt;0",D69:O69))</f>
      </c>
      <c r="Q69" s="38"/>
    </row>
    <row customHeight="true" ht="19" r="70">
      <c r="A70" s="34">
        <v>68</v>
      </c>
      <c r="B70" s="40" t="str">
        <v>江苏</v>
      </c>
      <c r="C70" s="39" t="str">
        <v>政府性基金及附加</v>
      </c>
      <c r="D70" s="34" cm="1">
        <f t="array" ref="D70:D70">_xlfn.XLOOKUP($B$70,'分表5-政府性基金及附加'!$B$2：'分表5-政府性基金及附加'!$B$199,'分表5-政府性基金及附加'!$D$2：'分表5-政府性基金及附加'!$D$199)</f>
      </c>
      <c r="E70" s="34" cm="1">
        <f t="array" ref="E70:E70">_xlfn.XLOOKUP($B$70,'分表5-政府性基金及附加'!$B$2：'分表5-政府性基金及附加'!$B$199,'分表5-政府性基金及附加'!$D$2：'分表5-政府性基金及附加'!$D$199)</f>
      </c>
      <c r="F70" s="34" cm="1">
        <f t="array" ref="F70:F70">_xlfn.XLOOKUP($B$70,'分表5-政府性基金及附加'!$B$2：'分表5-政府性基金及附加'!$B$199,'分表5-政府性基金及附加'!$D$2：'分表5-政府性基金及附加'!$D$199)</f>
      </c>
      <c r="G70" s="34" cm="1">
        <f t="array" ref="G70:G70">_xlfn.XLOOKUP($B$70,'分表5-政府性基金及附加'!$B$2：'分表5-政府性基金及附加'!$B$199,'分表5-政府性基金及附加'!$D$2：'分表5-政府性基金及附加'!$D$199)</f>
      </c>
      <c r="H70" s="34" cm="1">
        <f t="array" ref="H70:H70">_xlfn.XLOOKUP($B$70,'分表5-政府性基金及附加'!$B$2：'分表5-政府性基金及附加'!$B$199,'分表5-政府性基金及附加'!$D$2：'分表5-政府性基金及附加'!$D$199)</f>
      </c>
      <c r="I70" s="34"/>
      <c r="J70" s="34"/>
      <c r="K70" s="34"/>
      <c r="L70" s="34"/>
      <c r="M70" s="34"/>
      <c r="N70" s="34"/>
      <c r="O70" s="34"/>
      <c r="P70" s="34">
        <f>IF(SUM(D70:O70)=0,"0",AVERAGEIF(D70:O70,"&lt;&gt;0",D70:O70))</f>
      </c>
      <c r="Q70" s="38"/>
    </row>
    <row customHeight="true" ht="19" r="71">
      <c r="A71" s="34">
        <v>69</v>
      </c>
      <c r="B71" s="40" t="str">
        <v>江苏</v>
      </c>
      <c r="C71" s="39" t="str">
        <v>系统运行费折价</v>
      </c>
      <c r="D71" s="34">
        <f>'分表3-2026系统运行费'!DD2</f>
      </c>
      <c r="E71" s="34">
        <f>'分表3-2026系统运行费'!DE2</f>
      </c>
      <c r="F71" s="34">
        <f>'分表3-2026系统运行费'!DF2</f>
      </c>
      <c r="G71" s="34">
        <f>'分表3-2026系统运行费'!DG2</f>
      </c>
      <c r="H71" s="34">
        <f>'分表3-2026系统运行费'!DH2</f>
      </c>
      <c r="I71" s="34"/>
      <c r="J71" s="34"/>
      <c r="K71" s="34"/>
      <c r="L71" s="34"/>
      <c r="M71" s="34"/>
      <c r="N71" s="34"/>
      <c r="O71" s="34"/>
      <c r="P71" s="34">
        <f>IF(SUM(D71:O71)=0,"0",AVERAGEIF(D71:O71,"&lt;&gt;0",D71:O71))</f>
      </c>
      <c r="Q71" s="38"/>
    </row>
    <row customHeight="true" ht="19" r="72">
      <c r="A72" s="34">
        <v>70</v>
      </c>
      <c r="B72" s="40" t="str">
        <v>江苏</v>
      </c>
      <c r="C72" s="39" t="str">
        <v>综合平段电价--电网代购</v>
      </c>
      <c r="D72" s="34">
        <f>IF(D69="/","/",SUM(D67:D71))</f>
      </c>
      <c r="E72" s="34">
        <f>IF(E69="/","/",SUM(E67:E71))</f>
      </c>
      <c r="F72" s="34">
        <f>IF(F69="/","/",SUM(F67:F71))</f>
      </c>
      <c r="G72" s="34">
        <f>IF(G69="/","/",SUM(G67:G71))</f>
      </c>
      <c r="H72" s="34">
        <f>IF(H69="/","/",SUM(H67:H71))</f>
      </c>
      <c r="I72" s="34"/>
      <c r="J72" s="34"/>
      <c r="K72" s="34"/>
      <c r="L72" s="34"/>
      <c r="M72" s="34"/>
      <c r="N72" s="34"/>
      <c r="O72" s="34"/>
      <c r="P72" s="34">
        <f>IF(SUM(D72:O72)=0,"0",AVERAGEIF(D72:O72,"&lt;&gt;0",D72:O72))</f>
      </c>
      <c r="Q72" s="38"/>
    </row>
    <row customHeight="true" ht="19" r="73">
      <c r="A73" s="34">
        <v>71</v>
      </c>
      <c r="B73" s="40" t="str">
        <v>江苏</v>
      </c>
      <c r="C73" s="39" t="str">
        <v>入市交易购电价格</v>
      </c>
      <c r="D73" s="34">
        <f>'分表7-2026交易价格'!D10</f>
      </c>
      <c r="E73" s="34">
        <f>'分表7-2026交易价格'!E10</f>
      </c>
      <c r="F73" s="34">
        <f>'分表7-2026交易价格'!F10</f>
      </c>
      <c r="G73" s="34">
        <f>'分表7-2026交易价格'!G10</f>
      </c>
      <c r="H73" s="34">
        <f>'分表7-2026交易价格'!H10</f>
      </c>
      <c r="I73" s="34"/>
      <c r="J73" s="34"/>
      <c r="K73" s="34"/>
      <c r="L73" s="34"/>
      <c r="M73" s="34"/>
      <c r="N73" s="34"/>
      <c r="O73" s="34"/>
      <c r="P73" s="34">
        <f>IF(SUM(D73:O73)=0,"0",AVERAGEIF(D73:O73,"&lt;&gt;0",D73:O73))</f>
      </c>
      <c r="Q73" s="38"/>
    </row>
    <row customHeight="true" ht="19" r="74">
      <c r="A74" s="34">
        <v>72</v>
      </c>
      <c r="B74" s="40" t="str">
        <v>江苏</v>
      </c>
      <c r="C74" s="39" t="str">
        <v>综合平段电价--入市交易</v>
      </c>
      <c r="D74" s="34">
        <f>IF(D69="/","/",IF(D73&gt;0,D73+SUM(D68:D71),"/"))</f>
      </c>
      <c r="E74" s="34">
        <f>IF(E69="/","/",IF(E73&gt;0,E73+SUM(E68:E71),"/"))</f>
      </c>
      <c r="F74" s="34">
        <f>IF(F69="/","/",IF(F73&gt;0,F73+SUM(F68:F71),"/"))</f>
      </c>
      <c r="G74" s="34">
        <f>IF(G69="/","/",IF(G73&gt;0,G73+SUM(G68:G71),"/"))</f>
      </c>
      <c r="H74" s="34">
        <f>IF(H69="/","/",IF(H73&gt;0,H73+SUM(H68:H71),"/"))</f>
      </c>
      <c r="I74" s="34"/>
      <c r="J74" s="34"/>
      <c r="K74" s="34"/>
      <c r="L74" s="34"/>
      <c r="M74" s="34"/>
      <c r="N74" s="34"/>
      <c r="O74" s="34"/>
      <c r="P74" s="34">
        <f>IF(SUM(D74:O74)=0,"0",AVERAGEIF(D74:O74,"&lt;&gt;0",D74:O74))</f>
      </c>
      <c r="Q74" s="38"/>
    </row>
    <row customHeight="true" ht="19" r="75">
      <c r="A75" s="34">
        <v>73</v>
      </c>
      <c r="B75" s="31" t="str">
        <v>浙江</v>
      </c>
      <c r="C75" s="37" t="str">
        <v>代理购电价格</v>
      </c>
      <c r="D75" s="36">
        <f>'分表1-2026电网代购价'!D30</f>
      </c>
      <c r="E75" s="36">
        <f>'分表1-2026电网代购价'!E30</f>
      </c>
      <c r="F75" s="36">
        <f>'分表1-2026电网代购价'!F30</f>
      </c>
      <c r="G75" s="36">
        <f>'分表1-2026电网代购价'!G30</f>
      </c>
      <c r="H75" s="36">
        <f>'分表1-2026电网代购价'!H30</f>
      </c>
      <c r="I75" s="36"/>
      <c r="J75" s="36"/>
      <c r="K75" s="36"/>
      <c r="L75" s="36"/>
      <c r="M75" s="36"/>
      <c r="N75" s="36"/>
      <c r="O75" s="36"/>
      <c r="P75" s="36">
        <f>IF(SUM(D75:O75)=0,"0",AVERAGEIF(D75:O75,"&lt;&gt;0",D75:O75))</f>
      </c>
      <c r="Q75" s="35"/>
    </row>
    <row customHeight="true" ht="19" r="76">
      <c r="A76" s="34">
        <v>74</v>
      </c>
      <c r="B76" s="31" t="str">
        <v>浙江</v>
      </c>
      <c r="C76" s="37" t="str">
        <v>上网环节线损电价</v>
      </c>
      <c r="D76" s="32">
        <f>'分表2-2026上网环节线损'!C11</f>
      </c>
      <c r="E76" s="32">
        <f>'分表2-2026上网环节线损'!D11</f>
      </c>
      <c r="F76" s="32">
        <f>'分表2-2026上网环节线损'!E11</f>
      </c>
      <c r="G76" s="32">
        <f>'分表2-2026上网环节线损'!F11</f>
      </c>
      <c r="H76" s="32">
        <f>'分表2-2026上网环节线损'!G11</f>
      </c>
      <c r="I76" s="32"/>
      <c r="J76" s="33"/>
      <c r="K76" s="32"/>
      <c r="L76" s="32"/>
      <c r="M76" s="32"/>
      <c r="N76" s="32"/>
      <c r="O76" s="32"/>
      <c r="P76" s="36">
        <f>IF(SUM(D76:O76)=0,"0",AVERAGEIF(D76:O76,"&lt;&gt;0",D76:O76))</f>
      </c>
      <c r="Q76" s="35"/>
    </row>
    <row customHeight="true" ht="19" r="77">
      <c r="A77" s="34">
        <v>75</v>
      </c>
      <c r="B77" s="31" t="str">
        <v>浙江</v>
      </c>
      <c r="C77" s="37" t="str">
        <v>电度输配电价</v>
      </c>
      <c r="D77" s="36" cm="1">
        <f t="array" ref="D77:D77">_xlfn.XLOOKUP($C$1,'分表4-电度输配电价'!$C74：'分表4-电度输配电价'!$C81&amp;'分表4-电度输配电价'!$D74：'分表4-电度输配电价'!$D81,'分表4-电度输配电价'!$E74：'分表4-电度输配电价'!$E81)</f>
      </c>
      <c r="E77" s="36" cm="1">
        <f t="array" ref="E77:E77">_xlfn.XLOOKUP($C$1,'分表4-电度输配电价'!$C74：'分表4-电度输配电价'!$C81&amp;'分表4-电度输配电价'!$D74：'分表4-电度输配电价'!$D81,'分表4-电度输配电价'!$E74：'分表4-电度输配电价'!$E81)</f>
      </c>
      <c r="F77" s="36" cm="1">
        <f t="array" ref="F77:F77">_xlfn.XLOOKUP($C$1,'分表4-电度输配电价'!$C74：'分表4-电度输配电价'!$C81&amp;'分表4-电度输配电价'!$D74：'分表4-电度输配电价'!$D81,'分表4-电度输配电价'!$E74：'分表4-电度输配电价'!$E81)</f>
      </c>
      <c r="G77" s="36" cm="1">
        <f t="array" ref="G77:G77">_xlfn.XLOOKUP($C$1,'分表4-电度输配电价'!$C74：'分表4-电度输配电价'!$C81&amp;'分表4-电度输配电价'!$D74：'分表4-电度输配电价'!$D81,'分表4-电度输配电价'!$E74：'分表4-电度输配电价'!$E81)</f>
      </c>
      <c r="H77" s="36" cm="1">
        <f t="array" ref="H77:H77">_xlfn.XLOOKUP($C$1,'分表4-电度输配电价'!$C74：'分表4-电度输配电价'!$C81&amp;'分表4-电度输配电价'!$D74：'分表4-电度输配电价'!$D81,'分表4-电度输配电价'!$E74：'分表4-电度输配电价'!$E81)</f>
      </c>
      <c r="I77" s="32"/>
      <c r="J77" s="33"/>
      <c r="K77" s="32"/>
      <c r="L77" s="32"/>
      <c r="M77" s="32"/>
      <c r="N77" s="32"/>
      <c r="O77" s="32"/>
      <c r="P77" s="36">
        <f>IF(SUM(D77:O77)=0,"0",AVERAGEIF(D77:O77,"&lt;&gt;0",D77:O77))</f>
      </c>
      <c r="Q77" s="35"/>
    </row>
    <row customHeight="true" ht="19" r="78">
      <c r="A78" s="34">
        <v>76</v>
      </c>
      <c r="B78" s="31" t="str">
        <v>浙江</v>
      </c>
      <c r="C78" s="37" t="str">
        <v>政府性基金及附加</v>
      </c>
      <c r="D78" s="36" cm="1">
        <f t="array" ref="D78:D78">_xlfn.XLOOKUP($B$78,'分表5-政府性基金及附加'!$B$2：'分表5-政府性基金及附加'!$B$199,'分表5-政府性基金及附加'!$D$2：'分表5-政府性基金及附加'!$D$199)</f>
      </c>
      <c r="E78" s="36" cm="1">
        <f t="array" ref="E78:E78">_xlfn.XLOOKUP($B$78,'分表5-政府性基金及附加'!$B$2：'分表5-政府性基金及附加'!$B$199,'分表5-政府性基金及附加'!$D$2：'分表5-政府性基金及附加'!$D$199)</f>
      </c>
      <c r="F78" s="36" cm="1">
        <f t="array" ref="F78:F78">_xlfn.XLOOKUP($B$78,'分表5-政府性基金及附加'!$B$2：'分表5-政府性基金及附加'!$B$199,'分表5-政府性基金及附加'!$D$2：'分表5-政府性基金及附加'!$D$199)</f>
      </c>
      <c r="G78" s="36" cm="1">
        <f t="array" ref="G78:G78">_xlfn.XLOOKUP($B$78,'分表5-政府性基金及附加'!$B$2：'分表5-政府性基金及附加'!$B$199,'分表5-政府性基金及附加'!$D$2：'分表5-政府性基金及附加'!$D$199)</f>
      </c>
      <c r="H78" s="36" cm="1">
        <f t="array" ref="H78:H78">_xlfn.XLOOKUP($B$78,'分表5-政府性基金及附加'!$B$2：'分表5-政府性基金及附加'!$B$199,'分表5-政府性基金及附加'!$D$2：'分表5-政府性基金及附加'!$D$199)</f>
      </c>
      <c r="I78" s="32"/>
      <c r="J78" s="33"/>
      <c r="K78" s="32"/>
      <c r="L78" s="32"/>
      <c r="M78" s="32"/>
      <c r="N78" s="32"/>
      <c r="O78" s="32"/>
      <c r="P78" s="36">
        <f>IF(SUM(D78:O78)=0,"0",AVERAGEIF(D78:O78,"&lt;&gt;0",D78:O78))</f>
      </c>
      <c r="Q78" s="35"/>
    </row>
    <row customHeight="true" ht="19" r="79">
      <c r="A79" s="34">
        <v>77</v>
      </c>
      <c r="B79" s="31" t="str">
        <v>浙江</v>
      </c>
      <c r="C79" s="37" t="str">
        <v>系统运行费折价</v>
      </c>
      <c r="D79" s="32">
        <f>'分表3-2026系统运行费'!DQ2</f>
      </c>
      <c r="E79" s="32">
        <f>'分表3-2026系统运行费'!DR2</f>
      </c>
      <c r="F79" s="32">
        <f>'分表3-2026系统运行费'!DS2</f>
      </c>
      <c r="G79" s="32">
        <f>'分表3-2026系统运行费'!DT2</f>
      </c>
      <c r="H79" s="32">
        <f>'分表3-2026系统运行费'!DU2</f>
      </c>
      <c r="I79" s="32"/>
      <c r="J79" s="33"/>
      <c r="K79" s="32"/>
      <c r="L79" s="32"/>
      <c r="M79" s="32"/>
      <c r="N79" s="32"/>
      <c r="O79" s="32"/>
      <c r="P79" s="36">
        <f>IF(SUM(D79:O79)=0,"0",AVERAGEIF(D79:O79,"&lt;&gt;0",D79:O79))</f>
      </c>
      <c r="Q79" s="35"/>
    </row>
    <row customHeight="true" ht="19" r="80">
      <c r="A80" s="34">
        <v>78</v>
      </c>
      <c r="B80" s="31" t="str">
        <v>浙江</v>
      </c>
      <c r="C80" s="37" t="str">
        <v>综合平段电价--电网代购</v>
      </c>
      <c r="D80" s="36">
        <f>IF(D77="/","/",SUM(D75:D79))</f>
      </c>
      <c r="E80" s="36">
        <f>IF(E77="/","/",SUM(E75:E79))</f>
      </c>
      <c r="F80" s="36">
        <f>IF(F77="/","/",SUM(F75:F79))</f>
      </c>
      <c r="G80" s="36">
        <f>IF(G77="/","/",SUM(G75:G79))</f>
      </c>
      <c r="H80" s="36">
        <f>IF(H77="/","/",SUM(H75:H79))</f>
      </c>
      <c r="I80" s="32"/>
      <c r="J80" s="33"/>
      <c r="K80" s="32"/>
      <c r="L80" s="32"/>
      <c r="M80" s="32"/>
      <c r="N80" s="32"/>
      <c r="O80" s="32"/>
      <c r="P80" s="36">
        <f>IF(SUM(D80:O80)=0,"0",AVERAGEIF(D80:O80,"&lt;&gt;0",D80:O80))</f>
      </c>
      <c r="Q80" s="35"/>
    </row>
    <row customHeight="true" ht="19" r="81">
      <c r="A81" s="34">
        <v>79</v>
      </c>
      <c r="B81" s="31" t="str">
        <v>浙江</v>
      </c>
      <c r="C81" s="37" t="str">
        <v>入市交易购电价格</v>
      </c>
      <c r="D81" s="32">
        <f>'分表7-2026交易价格'!D11</f>
      </c>
      <c r="E81" s="32">
        <f>'分表7-2026交易价格'!E11</f>
      </c>
      <c r="F81" s="32">
        <f>'分表7-2026交易价格'!F11</f>
      </c>
      <c r="G81" s="32">
        <f>'分表7-2026交易价格'!G11</f>
      </c>
      <c r="H81" s="32">
        <f>'分表7-2026交易价格'!H11</f>
      </c>
      <c r="I81" s="32"/>
      <c r="J81" s="33"/>
      <c r="K81" s="32"/>
      <c r="L81" s="32"/>
      <c r="M81" s="32"/>
      <c r="N81" s="32"/>
      <c r="O81" s="32"/>
      <c r="P81" s="36">
        <f>IF(SUM(D81:O81)=0,"0",AVERAGEIF(D81:O81,"&lt;&gt;0",D81:O81))</f>
      </c>
      <c r="Q81" s="35"/>
    </row>
    <row customHeight="true" ht="19" r="82">
      <c r="A82" s="34">
        <v>80</v>
      </c>
      <c r="B82" s="31" t="str">
        <v>浙江</v>
      </c>
      <c r="C82" s="37" t="str">
        <v>综合平段电价--入市交易</v>
      </c>
      <c r="D82" s="36">
        <f>IF(D77="/","/",IF(D81&gt;0,D81+SUM(D76:D79),"/"))</f>
      </c>
      <c r="E82" s="36">
        <f>IF(E77="/","/",IF(E81&gt;0,E81+SUM(E76:E79),"/"))</f>
      </c>
      <c r="F82" s="36">
        <f>IF(F77="/","/",IF(F81&gt;0,F81+SUM(F76:F79),"/"))</f>
      </c>
      <c r="G82" s="36">
        <f>IF(G77="/","/",IF(G81&gt;0,G81+SUM(G76:G79),"/"))</f>
      </c>
      <c r="H82" s="36">
        <f>IF(H77="/","/",IF(H81&gt;0,H81+SUM(H76:H79),"/"))</f>
      </c>
      <c r="I82" s="32"/>
      <c r="J82" s="33"/>
      <c r="K82" s="32"/>
      <c r="L82" s="32"/>
      <c r="M82" s="32"/>
      <c r="N82" s="32"/>
      <c r="O82" s="32"/>
      <c r="P82" s="36">
        <f>IF(SUM(D82:O82)=0,"0",AVERAGEIF(D82:O82,"&lt;&gt;0",D82:O82))</f>
      </c>
      <c r="Q82" s="35"/>
    </row>
    <row customHeight="true" ht="19" r="83">
      <c r="A83" s="34">
        <v>81</v>
      </c>
      <c r="B83" s="40" t="str">
        <v>安徽</v>
      </c>
      <c r="C83" s="39" t="str">
        <v>代理购电价格</v>
      </c>
      <c r="D83" s="34">
        <f>'分表1-2026电网代购价'!D33</f>
      </c>
      <c r="E83" s="34">
        <f>'分表1-2026电网代购价'!E33</f>
      </c>
      <c r="F83" s="34">
        <f>'分表1-2026电网代购价'!F33</f>
      </c>
      <c r="G83" s="34">
        <f>'分表1-2026电网代购价'!G33</f>
      </c>
      <c r="H83" s="34">
        <f>'分表1-2026电网代购价'!H33</f>
      </c>
      <c r="I83" s="34"/>
      <c r="J83" s="34"/>
      <c r="K83" s="34"/>
      <c r="L83" s="34"/>
      <c r="M83" s="34"/>
      <c r="N83" s="34"/>
      <c r="O83" s="34"/>
      <c r="P83" s="34">
        <f>IF(SUM(D83:O83)=0,"0",AVERAGEIF(D83:O83,"&lt;&gt;0",D83:O83))</f>
      </c>
      <c r="Q83" s="38"/>
    </row>
    <row customHeight="true" ht="19" r="84">
      <c r="A84" s="34">
        <v>82</v>
      </c>
      <c r="B84" s="40" t="str">
        <v>安徽</v>
      </c>
      <c r="C84" s="39" t="str">
        <v>上网环节线损电价</v>
      </c>
      <c r="D84" s="34">
        <f>'分表2-2026上网环节线损'!C12</f>
      </c>
      <c r="E84" s="34">
        <f>'分表2-2026上网环节线损'!D12</f>
      </c>
      <c r="F84" s="34">
        <f>'分表2-2026上网环节线损'!E12</f>
      </c>
      <c r="G84" s="34">
        <f>'分表2-2026上网环节线损'!F12</f>
      </c>
      <c r="H84" s="34">
        <f>'分表2-2026上网环节线损'!G12</f>
      </c>
      <c r="I84" s="34"/>
      <c r="J84" s="34"/>
      <c r="K84" s="34"/>
      <c r="L84" s="34"/>
      <c r="M84" s="34"/>
      <c r="N84" s="34"/>
      <c r="O84" s="34"/>
      <c r="P84" s="34">
        <f>IF(SUM(D84:O84)=0,"0",AVERAGEIF(D84:O84,"&lt;&gt;0",D84:O84))</f>
      </c>
      <c r="Q84" s="38"/>
    </row>
    <row customHeight="true" ht="19" r="85">
      <c r="A85" s="34">
        <v>83</v>
      </c>
      <c r="B85" s="40" t="str">
        <v>安徽</v>
      </c>
      <c r="C85" s="39" t="str">
        <v>电度输配电价</v>
      </c>
      <c r="D85" s="34" cm="1">
        <f t="array" ref="D85:D85">_xlfn.XLOOKUP($C$1,'分表4-电度输配电价'!$C82：'分表4-电度输配电价'!$C89&amp;'分表4-电度输配电价'!$D82：'分表4-电度输配电价'!$D89,'分表4-电度输配电价'!$E82：'分表4-电度输配电价'!$E89)</f>
      </c>
      <c r="E85" s="34" cm="1">
        <f t="array" ref="E85:E85">_xlfn.XLOOKUP($C$1,'分表4-电度输配电价'!$C82：'分表4-电度输配电价'!$C89&amp;'分表4-电度输配电价'!$D82：'分表4-电度输配电价'!$D89,'分表4-电度输配电价'!$E82：'分表4-电度输配电价'!$E89)</f>
      </c>
      <c r="F85" s="34" cm="1">
        <f t="array" ref="F85:F85">_xlfn.XLOOKUP($C$1,'分表4-电度输配电价'!$C82：'分表4-电度输配电价'!$C89&amp;'分表4-电度输配电价'!$D82：'分表4-电度输配电价'!$D89,'分表4-电度输配电价'!$E82：'分表4-电度输配电价'!$E89)</f>
      </c>
      <c r="G85" s="34" cm="1">
        <f t="array" ref="G85:G85">_xlfn.XLOOKUP($C$1,'分表4-电度输配电价'!$C82：'分表4-电度输配电价'!$C89&amp;'分表4-电度输配电价'!$D82：'分表4-电度输配电价'!$D89,'分表4-电度输配电价'!$E82：'分表4-电度输配电价'!$E89)</f>
      </c>
      <c r="H85" s="34" cm="1">
        <f t="array" ref="H85:H85">_xlfn.XLOOKUP($C$1,'分表4-电度输配电价'!$C82：'分表4-电度输配电价'!$C89&amp;'分表4-电度输配电价'!$D82：'分表4-电度输配电价'!$D89,'分表4-电度输配电价'!$E82：'分表4-电度输配电价'!$E89)</f>
      </c>
      <c r="I85" s="34"/>
      <c r="J85" s="34"/>
      <c r="K85" s="34"/>
      <c r="L85" s="34"/>
      <c r="M85" s="34"/>
      <c r="N85" s="34"/>
      <c r="O85" s="34"/>
      <c r="P85" s="34">
        <f>IF(SUM(D85:O85)=0,"0",AVERAGEIF(D85:O85,"&lt;&gt;0",D85:O85))</f>
      </c>
      <c r="Q85" s="38"/>
    </row>
    <row customHeight="true" ht="19" r="86">
      <c r="A86" s="34">
        <v>84</v>
      </c>
      <c r="B86" s="40" t="str">
        <v>安徽</v>
      </c>
      <c r="C86" s="39" t="str">
        <v>政府性基金及附加</v>
      </c>
      <c r="D86" s="34" cm="1">
        <f t="array" ref="D86:D86">_xlfn.XLOOKUP($B$86,'分表5-政府性基金及附加'!$B$2：'分表5-政府性基金及附加'!$B$199,'分表5-政府性基金及附加'!$D$2：'分表5-政府性基金及附加'!$D$199)</f>
      </c>
      <c r="E86" s="34" cm="1">
        <f t="array" ref="E86:E86">_xlfn.XLOOKUP($B$86,'分表5-政府性基金及附加'!$B$2：'分表5-政府性基金及附加'!$B$199,'分表5-政府性基金及附加'!$D$2：'分表5-政府性基金及附加'!$D$199)</f>
      </c>
      <c r="F86" s="34" cm="1">
        <f t="array" ref="F86:F86">_xlfn.XLOOKUP($B$86,'分表5-政府性基金及附加'!$B$2：'分表5-政府性基金及附加'!$B$199,'分表5-政府性基金及附加'!$D$2：'分表5-政府性基金及附加'!$D$199)</f>
      </c>
      <c r="G86" s="34" cm="1">
        <f t="array" ref="G86:G86">_xlfn.XLOOKUP($B$86,'分表5-政府性基金及附加'!$B$2：'分表5-政府性基金及附加'!$B$199,'分表5-政府性基金及附加'!$D$2：'分表5-政府性基金及附加'!$D$199)</f>
      </c>
      <c r="H86" s="34" cm="1">
        <f t="array" ref="H86:H86">_xlfn.XLOOKUP($B$86,'分表5-政府性基金及附加'!$B$2：'分表5-政府性基金及附加'!$B$199,'分表5-政府性基金及附加'!$D$2：'分表5-政府性基金及附加'!$D$199)</f>
      </c>
      <c r="I86" s="34"/>
      <c r="J86" s="34"/>
      <c r="K86" s="34"/>
      <c r="L86" s="34"/>
      <c r="M86" s="34"/>
      <c r="N86" s="34"/>
      <c r="O86" s="34"/>
      <c r="P86" s="34">
        <f>IF(SUM(D86:O86)=0,"0",AVERAGEIF(D86:O86,"&lt;&gt;0",D86:O86))</f>
      </c>
      <c r="Q86" s="38"/>
    </row>
    <row r="87">
      <c r="A87" s="34">
        <v>85</v>
      </c>
      <c r="B87" s="40" t="str">
        <v>安徽</v>
      </c>
      <c r="C87" s="39" t="str">
        <v>系统运行费折价</v>
      </c>
      <c r="D87" s="34">
        <f>'分表3-2026系统运行费'!ED2</f>
      </c>
      <c r="E87" s="34">
        <f>'分表3-2026系统运行费'!EE2</f>
      </c>
      <c r="F87" s="34">
        <f>'分表3-2026系统运行费'!EF2</f>
      </c>
      <c r="G87" s="34">
        <f>'分表3-2026系统运行费'!EG2</f>
      </c>
      <c r="H87" s="34">
        <f>'分表3-2026系统运行费'!EH2</f>
      </c>
      <c r="I87" s="34"/>
      <c r="J87" s="34"/>
      <c r="K87" s="34"/>
      <c r="L87" s="34"/>
      <c r="M87" s="34"/>
      <c r="N87" s="34"/>
      <c r="O87" s="34"/>
      <c r="P87" s="34">
        <f>IF(SUM(D87:O87)=0,"0",AVERAGEIF(D87:O87,"&lt;&gt;0",D87:O87))</f>
      </c>
      <c r="Q87" s="38"/>
    </row>
    <row customHeight="true" ht="19" r="88">
      <c r="A88" s="34">
        <v>86</v>
      </c>
      <c r="B88" s="40" t="str">
        <v>安徽</v>
      </c>
      <c r="C88" s="39" t="str">
        <v>综合平段电价--电网代购</v>
      </c>
      <c r="D88" s="34">
        <f>IF(D85="/","/",SUM(D83:D87))</f>
      </c>
      <c r="E88" s="34">
        <f>IF(E85="/","/",SUM(E83:E87))</f>
      </c>
      <c r="F88" s="34">
        <f>IF(F85="/","/",SUM(F83:F87))</f>
      </c>
      <c r="G88" s="34">
        <f>IF(G85="/","/",SUM(G83:G87))</f>
      </c>
      <c r="H88" s="34">
        <f>IF(H85="/","/",SUM(H83:H87))</f>
      </c>
      <c r="I88" s="34"/>
      <c r="J88" s="34"/>
      <c r="K88" s="34"/>
      <c r="L88" s="34"/>
      <c r="M88" s="34"/>
      <c r="N88" s="34"/>
      <c r="O88" s="34"/>
      <c r="P88" s="34">
        <f>IF(SUM(D88:O88)=0,"0",AVERAGEIF(D88:O88,"&lt;&gt;0",D88:O88))</f>
      </c>
      <c r="Q88" s="38"/>
    </row>
    <row r="89">
      <c r="A89" s="34">
        <v>87</v>
      </c>
      <c r="B89" s="40" t="str">
        <v>安徽</v>
      </c>
      <c r="C89" s="39" t="str">
        <v>入市交易购电价格</v>
      </c>
      <c r="D89" s="34">
        <f>'分表7-2026交易价格'!D12</f>
      </c>
      <c r="E89" s="34">
        <f>'分表7-2026交易价格'!E12</f>
      </c>
      <c r="F89" s="34">
        <f>'分表7-2026交易价格'!F12</f>
      </c>
      <c r="G89" s="34">
        <f>'分表7-2026交易价格'!G12</f>
      </c>
      <c r="H89" s="34">
        <f>'分表7-2026交易价格'!H12</f>
      </c>
      <c r="I89" s="34"/>
      <c r="J89" s="34"/>
      <c r="K89" s="34"/>
      <c r="L89" s="34"/>
      <c r="M89" s="34"/>
      <c r="N89" s="34"/>
      <c r="O89" s="34"/>
      <c r="P89" s="34">
        <f>IF(SUM(D89:O89)=0,"0",AVERAGEIF(D89:O89,"&lt;&gt;0",D89:O89))</f>
      </c>
      <c r="Q89" s="38"/>
    </row>
    <row r="90">
      <c r="A90" s="34">
        <v>88</v>
      </c>
      <c r="B90" s="40" t="str">
        <v>安徽</v>
      </c>
      <c r="C90" s="39" t="str">
        <v>综合平段电价--入市交易</v>
      </c>
      <c r="D90" s="34">
        <f>IF(D85="/","/",IF(D89&gt;0,D89+SUM(D84:D87),"/"))</f>
      </c>
      <c r="E90" s="34">
        <f>IF(E85="/","/",IF(E89&gt;0,E89+SUM(E84:E87),"/"))</f>
      </c>
      <c r="F90" s="34">
        <f>IF(F85="/","/",IF(F89&gt;0,F89+SUM(F84:F87),"/"))</f>
      </c>
      <c r="G90" s="34">
        <f>IF(G85="/","/",IF(G89&gt;0,G89+SUM(G84:G87),"/"))</f>
      </c>
      <c r="H90" s="34">
        <f>IF(H85="/","/",IF(H89&gt;0,H89+SUM(H84:H87),"/"))</f>
      </c>
      <c r="I90" s="34"/>
      <c r="J90" s="34"/>
      <c r="K90" s="34"/>
      <c r="L90" s="34"/>
      <c r="M90" s="34"/>
      <c r="N90" s="34"/>
      <c r="O90" s="34"/>
      <c r="P90" s="34">
        <f>IF(SUM(D90:O90)=0,"0",AVERAGEIF(D90:O90,"&lt;&gt;0",D90:O90))</f>
      </c>
      <c r="Q90" s="38"/>
    </row>
    <row r="91">
      <c r="A91" s="34">
        <v>89</v>
      </c>
      <c r="B91" s="31" t="str">
        <v>福建</v>
      </c>
      <c r="C91" s="37" t="str">
        <v>代理购电价格</v>
      </c>
      <c r="D91" s="36">
        <f>'分表1-2026电网代购价'!D36</f>
      </c>
      <c r="E91" s="36">
        <f>'分表1-2026电网代购价'!E36</f>
      </c>
      <c r="F91" s="36">
        <f>'分表1-2026电网代购价'!F36</f>
      </c>
      <c r="G91" s="36">
        <f>'分表1-2026电网代购价'!G36</f>
      </c>
      <c r="H91" s="36">
        <f>'分表1-2026电网代购价'!H36</f>
      </c>
      <c r="I91" s="36"/>
      <c r="J91" s="36"/>
      <c r="K91" s="36"/>
      <c r="L91" s="36"/>
      <c r="M91" s="36"/>
      <c r="N91" s="36"/>
      <c r="O91" s="36"/>
      <c r="P91" s="36">
        <f>IF(SUM(D91:O91)=0,"0",AVERAGEIF(D91:O91,"&lt;&gt;0",D91:O91))</f>
      </c>
      <c r="Q91" s="35"/>
    </row>
    <row r="92">
      <c r="A92" s="34">
        <v>90</v>
      </c>
      <c r="B92" s="31" t="str">
        <v>福建</v>
      </c>
      <c r="C92" s="37" t="str">
        <v>上网环节线损电价</v>
      </c>
      <c r="D92" s="32">
        <f>'分表2-2026上网环节线损'!C13</f>
      </c>
      <c r="E92" s="32">
        <f>'分表2-2026上网环节线损'!D13</f>
      </c>
      <c r="F92" s="32">
        <f>'分表2-2026上网环节线损'!E13</f>
      </c>
      <c r="G92" s="32">
        <f>'分表2-2026上网环节线损'!F13</f>
      </c>
      <c r="H92" s="32">
        <f>'分表2-2026上网环节线损'!G13</f>
      </c>
      <c r="I92" s="32"/>
      <c r="J92" s="33"/>
      <c r="K92" s="32"/>
      <c r="L92" s="32"/>
      <c r="M92" s="32"/>
      <c r="N92" s="32"/>
      <c r="O92" s="32"/>
      <c r="P92" s="36">
        <f>IF(SUM(D92:O92)=0,"0",AVERAGEIF(D92:O92,"&lt;&gt;0",D92:O92))</f>
      </c>
      <c r="Q92" s="35"/>
    </row>
    <row r="93">
      <c r="A93" s="34">
        <v>91</v>
      </c>
      <c r="B93" s="31" t="str">
        <v>福建</v>
      </c>
      <c r="C93" s="37" t="str">
        <v>电度输配电价</v>
      </c>
      <c r="D93" s="36" cm="1">
        <f t="array" ref="D93:D93">_xlfn.XLOOKUP($C$1,'分表4-电度输配电价'!$C90：'分表4-电度输配电价'!$C97&amp;'分表4-电度输配电价'!$D90：'分表4-电度输配电价'!$D97,'分表4-电度输配电价'!$E90：'分表4-电度输配电价'!$E97)</f>
      </c>
      <c r="E93" s="36" cm="1">
        <f t="array" ref="E93:E93">_xlfn.XLOOKUP($C$1,'分表4-电度输配电价'!$C90：'分表4-电度输配电价'!$C97&amp;'分表4-电度输配电价'!$D90：'分表4-电度输配电价'!$D97,'分表4-电度输配电价'!$E90：'分表4-电度输配电价'!$E97)</f>
      </c>
      <c r="F93" s="36" cm="1">
        <f t="array" ref="F93:F93">_xlfn.XLOOKUP($C$1,'分表4-电度输配电价'!$C90：'分表4-电度输配电价'!$C97&amp;'分表4-电度输配电价'!$D90：'分表4-电度输配电价'!$D97,'分表4-电度输配电价'!$E90：'分表4-电度输配电价'!$E97)</f>
      </c>
      <c r="G93" s="36" cm="1">
        <f t="array" ref="G93:G93">_xlfn.XLOOKUP($C$1,'分表4-电度输配电价'!$C90：'分表4-电度输配电价'!$C97&amp;'分表4-电度输配电价'!$D90：'分表4-电度输配电价'!$D97,'分表4-电度输配电价'!$E90：'分表4-电度输配电价'!$E97)</f>
      </c>
      <c r="H93" s="36" cm="1">
        <f t="array" ref="H93:H93">_xlfn.XLOOKUP($C$1,'分表4-电度输配电价'!$C90：'分表4-电度输配电价'!$C97&amp;'分表4-电度输配电价'!$D90：'分表4-电度输配电价'!$D97,'分表4-电度输配电价'!$E90：'分表4-电度输配电价'!$E97)</f>
      </c>
      <c r="I93" s="32"/>
      <c r="J93" s="33"/>
      <c r="K93" s="32"/>
      <c r="L93" s="32"/>
      <c r="M93" s="32"/>
      <c r="N93" s="32"/>
      <c r="O93" s="32"/>
      <c r="P93" s="36">
        <f>IF(SUM(D93:O93)=0,"0",AVERAGEIF(D93:O93,"&lt;&gt;0",D93:O93))</f>
      </c>
      <c r="Q93" s="35"/>
    </row>
    <row r="94">
      <c r="A94" s="34">
        <v>92</v>
      </c>
      <c r="B94" s="31" t="str">
        <v>福建</v>
      </c>
      <c r="C94" s="37" t="str">
        <v>政府性基金及附加</v>
      </c>
      <c r="D94" s="36" cm="1">
        <f t="array" ref="D94:D94">_xlfn.XLOOKUP($B$94,'分表5-政府性基金及附加'!$B$2：'分表5-政府性基金及附加'!$B$199,'分表5-政府性基金及附加'!$D$2：'分表5-政府性基金及附加'!$D$199)</f>
      </c>
      <c r="E94" s="36" cm="1">
        <f t="array" ref="E94:E94">_xlfn.XLOOKUP($B$94,'分表5-政府性基金及附加'!$B$2：'分表5-政府性基金及附加'!$B$199,'分表5-政府性基金及附加'!$D$2：'分表5-政府性基金及附加'!$D$199)</f>
      </c>
      <c r="F94" s="36" cm="1">
        <f t="array" ref="F94:F94">_xlfn.XLOOKUP($B$94,'分表5-政府性基金及附加'!$B$2：'分表5-政府性基金及附加'!$B$199,'分表5-政府性基金及附加'!$D$2：'分表5-政府性基金及附加'!$D$199)</f>
      </c>
      <c r="G94" s="36" cm="1">
        <f t="array" ref="G94:G94">_xlfn.XLOOKUP($B$94,'分表5-政府性基金及附加'!$B$2：'分表5-政府性基金及附加'!$B$199,'分表5-政府性基金及附加'!$D$2：'分表5-政府性基金及附加'!$D$199)</f>
      </c>
      <c r="H94" s="36" cm="1">
        <f t="array" ref="H94:H94">_xlfn.XLOOKUP($B$94,'分表5-政府性基金及附加'!$B$2：'分表5-政府性基金及附加'!$B$199,'分表5-政府性基金及附加'!$D$2：'分表5-政府性基金及附加'!$D$199)</f>
      </c>
      <c r="I94" s="32"/>
      <c r="J94" s="33"/>
      <c r="K94" s="32"/>
      <c r="L94" s="32"/>
      <c r="M94" s="32"/>
      <c r="N94" s="32"/>
      <c r="O94" s="32"/>
      <c r="P94" s="36">
        <f>IF(SUM(D94:O94)=0,"0",AVERAGEIF(D94:O94,"&lt;&gt;0",D94:O94))</f>
      </c>
      <c r="Q94" s="35"/>
    </row>
    <row r="95">
      <c r="A95" s="34">
        <v>93</v>
      </c>
      <c r="B95" s="31" t="str">
        <v>福建</v>
      </c>
      <c r="C95" s="37" t="str">
        <v>系统运行费折价</v>
      </c>
      <c r="D95" s="32">
        <f>'分表3-2026系统运行费'!EQ2</f>
      </c>
      <c r="E95" s="32">
        <f>'分表3-2026系统运行费'!ER2</f>
      </c>
      <c r="F95" s="32">
        <f>'分表3-2026系统运行费'!ES2</f>
      </c>
      <c r="G95" s="32">
        <f>'分表3-2026系统运行费'!ET2</f>
      </c>
      <c r="H95" s="32">
        <f>'分表3-2026系统运行费'!EU2</f>
      </c>
      <c r="I95" s="32"/>
      <c r="J95" s="33"/>
      <c r="K95" s="32"/>
      <c r="L95" s="32"/>
      <c r="M95" s="32"/>
      <c r="N95" s="32"/>
      <c r="O95" s="32"/>
      <c r="P95" s="36">
        <f>IF(SUM(D95:O95)=0,"0",AVERAGEIF(D95:O95,"&lt;&gt;0",D95:O95))</f>
      </c>
      <c r="Q95" s="35"/>
    </row>
    <row r="96">
      <c r="A96" s="34">
        <v>94</v>
      </c>
      <c r="B96" s="31" t="str">
        <v>福建</v>
      </c>
      <c r="C96" s="37" t="str">
        <v>综合平段电价--电网代购</v>
      </c>
      <c r="D96" s="36">
        <f>IF(D93="/","/",SUM(D91:D95))</f>
      </c>
      <c r="E96" s="36">
        <f>IF(E93="/","/",SUM(E91:E95))</f>
      </c>
      <c r="F96" s="36">
        <f>IF(F93="/","/",SUM(F91:F95))</f>
      </c>
      <c r="G96" s="36">
        <f>IF(G93="/","/",SUM(G91:G95))</f>
      </c>
      <c r="H96" s="36">
        <f>IF(H93="/","/",SUM(H91:H95))</f>
      </c>
      <c r="I96" s="32"/>
      <c r="J96" s="33"/>
      <c r="K96" s="32"/>
      <c r="L96" s="32"/>
      <c r="M96" s="32"/>
      <c r="N96" s="32"/>
      <c r="O96" s="32"/>
      <c r="P96" s="36">
        <f>IF(SUM(D96:O96)=0,"0",AVERAGEIF(D96:O96,"&lt;&gt;0",D96:O96))</f>
      </c>
      <c r="Q96" s="35"/>
    </row>
    <row r="97">
      <c r="A97" s="34">
        <v>95</v>
      </c>
      <c r="B97" s="31" t="str">
        <v>福建</v>
      </c>
      <c r="C97" s="37" t="str">
        <v>入市交易购电价格</v>
      </c>
      <c r="D97" s="32">
        <f>'分表7-2026交易价格'!D13</f>
      </c>
      <c r="E97" s="32">
        <f>'分表7-2026交易价格'!E13</f>
      </c>
      <c r="F97" s="32">
        <f>'分表7-2026交易价格'!F13</f>
      </c>
      <c r="G97" s="32">
        <f>'分表7-2026交易价格'!G13</f>
      </c>
      <c r="H97" s="32">
        <f>'分表7-2026交易价格'!H13</f>
      </c>
      <c r="I97" s="32"/>
      <c r="J97" s="33"/>
      <c r="K97" s="32"/>
      <c r="L97" s="32"/>
      <c r="M97" s="32"/>
      <c r="N97" s="32"/>
      <c r="O97" s="32"/>
      <c r="P97" s="36">
        <f>IF(SUM(D97:O97)=0,"0",AVERAGEIF(D97:O97,"&lt;&gt;0",D97:O97))</f>
      </c>
      <c r="Q97" s="35"/>
    </row>
    <row r="98">
      <c r="A98" s="34">
        <v>96</v>
      </c>
      <c r="B98" s="31" t="str">
        <v>福建</v>
      </c>
      <c r="C98" s="37" t="str">
        <v>综合平段电价--入市交易</v>
      </c>
      <c r="D98" s="36">
        <f>IF(D93="/","/",IF(D97&gt;0,D97+SUM(D92:D95),"/"))</f>
      </c>
      <c r="E98" s="36">
        <f>IF(E93="/","/",IF(E97&gt;0,E97+SUM(E92:E95),"/"))</f>
      </c>
      <c r="F98" s="36">
        <f>IF(F93="/","/",IF(F97&gt;0,F97+SUM(F92:F95),"/"))</f>
      </c>
      <c r="G98" s="36">
        <f>IF(G93="/","/",IF(G97&gt;0,G97+SUM(G92:G95),"/"))</f>
      </c>
      <c r="H98" s="36">
        <f>IF(H93="/","/",IF(H97&gt;0,H97+SUM(H92:H95),"/"))</f>
      </c>
      <c r="I98" s="32"/>
      <c r="J98" s="33"/>
      <c r="K98" s="32"/>
      <c r="L98" s="32"/>
      <c r="M98" s="32"/>
      <c r="N98" s="32"/>
      <c r="O98" s="32"/>
      <c r="P98" s="36">
        <f>IF(SUM(D98:O98)=0,"0",AVERAGEIF(D98:O98,"&lt;&gt;0",D98:O98))</f>
      </c>
      <c r="Q98" s="35"/>
    </row>
    <row r="99">
      <c r="A99" s="34">
        <v>97</v>
      </c>
      <c r="B99" s="40" t="str">
        <v>湖北</v>
      </c>
      <c r="C99" s="39" t="str">
        <v>代理购电价格</v>
      </c>
      <c r="D99" s="34">
        <f>'分表1-2026电网代购价'!D39</f>
      </c>
      <c r="E99" s="34">
        <f>'分表1-2026电网代购价'!E39</f>
      </c>
      <c r="F99" s="34">
        <f>'分表1-2026电网代购价'!F39</f>
      </c>
      <c r="G99" s="34">
        <f>'分表1-2026电网代购价'!G39</f>
      </c>
      <c r="H99" s="34">
        <f>'分表1-2026电网代购价'!H39</f>
      </c>
      <c r="I99" s="34"/>
      <c r="J99" s="34"/>
      <c r="K99" s="34"/>
      <c r="L99" s="34"/>
      <c r="M99" s="34"/>
      <c r="N99" s="34"/>
      <c r="O99" s="34"/>
      <c r="P99" s="34">
        <f>IF(SUM(D99:O99)=0,"0",AVERAGEIF(D99:O99,"&lt;&gt;0",D99:O99))</f>
      </c>
      <c r="Q99" s="38"/>
    </row>
    <row r="100">
      <c r="A100" s="34">
        <v>98</v>
      </c>
      <c r="B100" s="40" t="str">
        <v>湖北</v>
      </c>
      <c r="C100" s="39" t="str">
        <v>上网环节线损电价</v>
      </c>
      <c r="D100" s="34">
        <f>'分表2-2026上网环节线损'!C14</f>
      </c>
      <c r="E100" s="34">
        <f>'分表2-2026上网环节线损'!D14</f>
      </c>
      <c r="F100" s="34">
        <f>'分表2-2026上网环节线损'!E14</f>
      </c>
      <c r="G100" s="34">
        <f>'分表2-2026上网环节线损'!F14</f>
      </c>
      <c r="H100" s="34">
        <f>'分表2-2026上网环节线损'!G14</f>
      </c>
      <c r="I100" s="34"/>
      <c r="J100" s="34"/>
      <c r="K100" s="34"/>
      <c r="L100" s="34"/>
      <c r="M100" s="34"/>
      <c r="N100" s="34"/>
      <c r="O100" s="34"/>
      <c r="P100" s="34">
        <f>IF(SUM(D100:O100)=0,"0",AVERAGEIF(D100:O100,"&lt;&gt;0",D100:O100))</f>
      </c>
      <c r="Q100" s="38"/>
    </row>
    <row r="101">
      <c r="A101" s="34">
        <v>99</v>
      </c>
      <c r="B101" s="40" t="str">
        <v>湖北</v>
      </c>
      <c r="C101" s="39" t="str">
        <v>电度输配电价</v>
      </c>
      <c r="D101" s="34" cm="1">
        <f t="array" ref="D101:D101">_xlfn.XLOOKUP($C$1,'分表4-电度输配电价'!$C98：'分表4-电度输配电价'!$C105&amp;'分表4-电度输配电价'!$D98：'分表4-电度输配电价'!$D105,'分表4-电度输配电价'!$E98：'分表4-电度输配电价'!$E105)</f>
      </c>
      <c r="E101" s="34" cm="1">
        <f t="array" ref="E101:E101">_xlfn.XLOOKUP($C$1,'分表4-电度输配电价'!$C98：'分表4-电度输配电价'!$C105&amp;'分表4-电度输配电价'!$D98：'分表4-电度输配电价'!$D105,'分表4-电度输配电价'!$E98：'分表4-电度输配电价'!$E105)</f>
      </c>
      <c r="F101" s="34" cm="1">
        <f t="array" ref="F101:F101">_xlfn.XLOOKUP($C$1,'分表4-电度输配电价'!$C98：'分表4-电度输配电价'!$C105&amp;'分表4-电度输配电价'!$D98：'分表4-电度输配电价'!$D105,'分表4-电度输配电价'!$E98：'分表4-电度输配电价'!$E105)</f>
      </c>
      <c r="G101" s="34" cm="1">
        <f t="array" ref="G101:G101">_xlfn.XLOOKUP($C$1,'分表4-电度输配电价'!$C98：'分表4-电度输配电价'!$C105&amp;'分表4-电度输配电价'!$D98：'分表4-电度输配电价'!$D105,'分表4-电度输配电价'!$E98：'分表4-电度输配电价'!$E105)</f>
      </c>
      <c r="H101" s="34" cm="1">
        <f t="array" ref="H101:H101">_xlfn.XLOOKUP($C$1,'分表4-电度输配电价'!$C98：'分表4-电度输配电价'!$C105&amp;'分表4-电度输配电价'!$D98：'分表4-电度输配电价'!$D105,'分表4-电度输配电价'!$E98：'分表4-电度输配电价'!$E105)</f>
      </c>
      <c r="I101" s="34"/>
      <c r="J101" s="34"/>
      <c r="K101" s="34"/>
      <c r="L101" s="34"/>
      <c r="M101" s="34"/>
      <c r="N101" s="34"/>
      <c r="O101" s="34"/>
      <c r="P101" s="34">
        <f>IF(SUM(D101:O101)=0,"0",AVERAGEIF(D101:O101,"&lt;&gt;0",D101:O101))</f>
      </c>
      <c r="Q101" s="38"/>
    </row>
    <row r="102">
      <c r="A102" s="34">
        <v>100</v>
      </c>
      <c r="B102" s="40" t="str">
        <v>湖北</v>
      </c>
      <c r="C102" s="39" t="str">
        <v>政府性基金及附加</v>
      </c>
      <c r="D102" s="34" cm="1">
        <f t="array" ref="D102:D102">_xlfn.XLOOKUP($B$102,'分表5-政府性基金及附加'!$B$2：'分表5-政府性基金及附加'!$B$199,'分表5-政府性基金及附加'!$D$2：'分表5-政府性基金及附加'!$D$199)</f>
      </c>
      <c r="E102" s="34" cm="1">
        <f t="array" ref="E102:E102">_xlfn.XLOOKUP($B$102,'分表5-政府性基金及附加'!$B$2：'分表5-政府性基金及附加'!$B$199,'分表5-政府性基金及附加'!$D$2：'分表5-政府性基金及附加'!$D$199)</f>
      </c>
      <c r="F102" s="34" cm="1">
        <f t="array" ref="F102:F102">_xlfn.XLOOKUP($B$102,'分表5-政府性基金及附加'!$B$2：'分表5-政府性基金及附加'!$B$199,'分表5-政府性基金及附加'!$D$2：'分表5-政府性基金及附加'!$D$199)</f>
      </c>
      <c r="G102" s="34" cm="1">
        <f t="array" ref="G102:G102">_xlfn.XLOOKUP($B$102,'分表5-政府性基金及附加'!$B$2：'分表5-政府性基金及附加'!$B$199,'分表5-政府性基金及附加'!$D$2：'分表5-政府性基金及附加'!$D$199)</f>
      </c>
      <c r="H102" s="34" cm="1">
        <f t="array" ref="H102:H102">_xlfn.XLOOKUP($B$102,'分表5-政府性基金及附加'!$B$2：'分表5-政府性基金及附加'!$B$199,'分表5-政府性基金及附加'!$D$2：'分表5-政府性基金及附加'!$D$199)</f>
      </c>
      <c r="I102" s="34"/>
      <c r="J102" s="34"/>
      <c r="K102" s="34"/>
      <c r="L102" s="34"/>
      <c r="M102" s="34"/>
      <c r="N102" s="34"/>
      <c r="O102" s="34"/>
      <c r="P102" s="34">
        <f>IF(SUM(D102:O102)=0,"0",AVERAGEIF(D102:O102,"&lt;&gt;0",D102:O102))</f>
      </c>
      <c r="Q102" s="38"/>
    </row>
    <row r="103">
      <c r="A103" s="34">
        <v>101</v>
      </c>
      <c r="B103" s="40" t="str">
        <v>湖北</v>
      </c>
      <c r="C103" s="39" t="str">
        <v>系统运行费折价</v>
      </c>
      <c r="D103" s="34">
        <f>'分表3-2026系统运行费'!FD2</f>
      </c>
      <c r="E103" s="34">
        <f>'分表3-2026系统运行费'!FE2</f>
      </c>
      <c r="F103" s="34">
        <f>'分表3-2026系统运行费'!FF2</f>
      </c>
      <c r="G103" s="34">
        <f>'分表3-2026系统运行费'!FG2</f>
      </c>
      <c r="H103" s="34">
        <f>'分表3-2026系统运行费'!FH2</f>
      </c>
      <c r="I103" s="34"/>
      <c r="J103" s="34"/>
      <c r="K103" s="34"/>
      <c r="L103" s="34"/>
      <c r="M103" s="34"/>
      <c r="N103" s="34"/>
      <c r="O103" s="34"/>
      <c r="P103" s="34">
        <f>IF(SUM(D103:O103)=0,"0",AVERAGEIF(D103:O103,"&lt;&gt;0",D103:O103))</f>
      </c>
      <c r="Q103" s="38"/>
    </row>
    <row r="104">
      <c r="A104" s="34">
        <v>102</v>
      </c>
      <c r="B104" s="40" t="str">
        <v>湖北</v>
      </c>
      <c r="C104" s="39" t="str">
        <v>综合平段电价--电网代购</v>
      </c>
      <c r="D104" s="34">
        <f>IF(D101="/","/",SUM(D99:D103))</f>
      </c>
      <c r="E104" s="34">
        <f>IF(E101="/","/",SUM(E99:E103))</f>
      </c>
      <c r="F104" s="34">
        <f>IF(F101="/","/",SUM(F99:F103))</f>
      </c>
      <c r="G104" s="34">
        <f>IF(G101="/","/",SUM(G99:G103))</f>
      </c>
      <c r="H104" s="34">
        <f>IF(H101="/","/",SUM(H99:H103))</f>
      </c>
      <c r="I104" s="34"/>
      <c r="J104" s="34"/>
      <c r="K104" s="34"/>
      <c r="L104" s="34"/>
      <c r="M104" s="34"/>
      <c r="N104" s="34"/>
      <c r="O104" s="34"/>
      <c r="P104" s="34">
        <f>IF(SUM(D104:O104)=0,"0",AVERAGEIF(D104:O104,"&lt;&gt;0",D104:O104))</f>
      </c>
      <c r="Q104" s="38"/>
    </row>
    <row r="105">
      <c r="A105" s="34">
        <v>103</v>
      </c>
      <c r="B105" s="40" t="str">
        <v>湖北</v>
      </c>
      <c r="C105" s="39" t="str">
        <v>入市交易购电价格</v>
      </c>
      <c r="D105" s="34">
        <f>'分表7-2026交易价格'!D14</f>
      </c>
      <c r="E105" s="34">
        <f>'分表7-2026交易价格'!E14</f>
      </c>
      <c r="F105" s="34">
        <f>'分表7-2026交易价格'!F14</f>
      </c>
      <c r="G105" s="34">
        <f>'分表7-2026交易价格'!G14</f>
      </c>
      <c r="H105" s="34">
        <f>'分表7-2026交易价格'!H14</f>
      </c>
      <c r="I105" s="34"/>
      <c r="J105" s="34"/>
      <c r="K105" s="34"/>
      <c r="L105" s="34"/>
      <c r="M105" s="34"/>
      <c r="N105" s="34"/>
      <c r="O105" s="34"/>
      <c r="P105" s="34">
        <f>IF(SUM(D105:O105)=0,"0",AVERAGEIF(D105:O105,"&lt;&gt;0",D105:O105))</f>
      </c>
      <c r="Q105" s="38"/>
    </row>
    <row customHeight="true" ht="19" r="106">
      <c r="A106" s="34">
        <v>104</v>
      </c>
      <c r="B106" s="40" t="str">
        <v>湖北</v>
      </c>
      <c r="C106" s="39" t="str">
        <v>综合平段电价--入市交易</v>
      </c>
      <c r="D106" s="34">
        <f>IF(D101="/","/",IF(D105&gt;0,D105+SUM(D100:D103),"/"))</f>
      </c>
      <c r="E106" s="34">
        <f>IF(E101="/","/",IF(E105&gt;0,E105+SUM(E100:E103),"/"))</f>
      </c>
      <c r="F106" s="34">
        <f>IF(F101="/","/",IF(F105&gt;0,F105+SUM(F100:F103),"/"))</f>
      </c>
      <c r="G106" s="34">
        <f>IF(G101="/","/",IF(G105&gt;0,G105+SUM(G100:G103),"/"))</f>
      </c>
      <c r="H106" s="34">
        <f>IF(H101="/","/",IF(H105&gt;0,H105+SUM(H100:H103),"/"))</f>
      </c>
      <c r="I106" s="34"/>
      <c r="J106" s="34"/>
      <c r="K106" s="34"/>
      <c r="L106" s="34"/>
      <c r="M106" s="34"/>
      <c r="N106" s="34"/>
      <c r="O106" s="34"/>
      <c r="P106" s="34">
        <f>IF(SUM(D106:O106)=0,"0",AVERAGEIF(D106:O106,"&lt;&gt;0",D106:O106))</f>
      </c>
      <c r="Q106" s="38"/>
    </row>
    <row customHeight="true" ht="19" r="107">
      <c r="A107" s="34">
        <v>105</v>
      </c>
      <c r="B107" s="31" t="str">
        <v>河南</v>
      </c>
      <c r="C107" s="37" t="str">
        <v>代理购电价格</v>
      </c>
      <c r="D107" s="36">
        <f>'分表1-2026电网代购价'!D42</f>
      </c>
      <c r="E107" s="36">
        <f>'分表1-2026电网代购价'!E42</f>
      </c>
      <c r="F107" s="36">
        <f>'分表1-2026电网代购价'!F42</f>
      </c>
      <c r="G107" s="36">
        <f>'分表1-2026电网代购价'!G42</f>
      </c>
      <c r="H107" s="36">
        <f>'分表1-2026电网代购价'!H42</f>
      </c>
      <c r="I107" s="36"/>
      <c r="J107" s="36"/>
      <c r="K107" s="36"/>
      <c r="L107" s="36"/>
      <c r="M107" s="36"/>
      <c r="N107" s="36"/>
      <c r="O107" s="36"/>
      <c r="P107" s="36">
        <f>IF(SUM(D107:O107)=0,"0",AVERAGEIF(D107:O107,"&lt;&gt;0",D107:O107))</f>
      </c>
      <c r="Q107" s="35"/>
    </row>
    <row customHeight="true" ht="19" r="108">
      <c r="A108" s="34">
        <v>106</v>
      </c>
      <c r="B108" s="31" t="str">
        <v>河南</v>
      </c>
      <c r="C108" s="37" t="str">
        <v>上网环节线损电价</v>
      </c>
      <c r="D108" s="32">
        <f>'分表2-2026上网环节线损'!C15</f>
      </c>
      <c r="E108" s="32">
        <f>'分表2-2026上网环节线损'!D15</f>
      </c>
      <c r="F108" s="32">
        <f>'分表2-2026上网环节线损'!E15</f>
      </c>
      <c r="G108" s="32">
        <f>'分表2-2026上网环节线损'!F15</f>
      </c>
      <c r="H108" s="32">
        <f>'分表2-2026上网环节线损'!G15</f>
      </c>
      <c r="I108" s="32"/>
      <c r="J108" s="33"/>
      <c r="K108" s="32"/>
      <c r="L108" s="32"/>
      <c r="M108" s="32"/>
      <c r="N108" s="32"/>
      <c r="O108" s="32"/>
      <c r="P108" s="36">
        <f>IF(SUM(D108:O108)=0,"0",AVERAGEIF(D108:O108,"&lt;&gt;0",D108:O108))</f>
      </c>
      <c r="Q108" s="35"/>
    </row>
    <row r="109">
      <c r="A109" s="34">
        <v>107</v>
      </c>
      <c r="B109" s="31" t="str">
        <v>河南</v>
      </c>
      <c r="C109" s="37" t="str">
        <v>电度输配电价</v>
      </c>
      <c r="D109" s="36" cm="1">
        <f t="array" ref="D109:D109">_xlfn.XLOOKUP($C$1,'分表4-电度输配电价'!$C106：'分表4-电度输配电价'!$C113&amp;'分表4-电度输配电价'!$D106：'分表4-电度输配电价'!$D113,'分表4-电度输配电价'!$E106：'分表4-电度输配电价'!$E113)</f>
      </c>
      <c r="E109" s="36" cm="1">
        <f t="array" ref="E109:E109">_xlfn.XLOOKUP($C$1,'分表4-电度输配电价'!$C106：'分表4-电度输配电价'!$C113&amp;'分表4-电度输配电价'!$D106：'分表4-电度输配电价'!$D113,'分表4-电度输配电价'!$E106：'分表4-电度输配电价'!$E113)</f>
      </c>
      <c r="F109" s="36" cm="1">
        <f t="array" ref="F109:F109">_xlfn.XLOOKUP($C$1,'分表4-电度输配电价'!$C106：'分表4-电度输配电价'!$C113&amp;'分表4-电度输配电价'!$D106：'分表4-电度输配电价'!$D113,'分表4-电度输配电价'!$E106：'分表4-电度输配电价'!$E113)</f>
      </c>
      <c r="G109" s="36" cm="1">
        <f t="array" ref="G109:G109">_xlfn.XLOOKUP($C$1,'分表4-电度输配电价'!$C106：'分表4-电度输配电价'!$C113&amp;'分表4-电度输配电价'!$D106：'分表4-电度输配电价'!$D113,'分表4-电度输配电价'!$E106：'分表4-电度输配电价'!$E113)</f>
      </c>
      <c r="H109" s="36" cm="1">
        <f t="array" ref="H109:H109">_xlfn.XLOOKUP($C$1,'分表4-电度输配电价'!$C106：'分表4-电度输配电价'!$C113&amp;'分表4-电度输配电价'!$D106：'分表4-电度输配电价'!$D113,'分表4-电度输配电价'!$E106：'分表4-电度输配电价'!$E113)</f>
      </c>
      <c r="I109" s="32"/>
      <c r="J109" s="33"/>
      <c r="K109" s="32"/>
      <c r="L109" s="32"/>
      <c r="M109" s="32"/>
      <c r="N109" s="32"/>
      <c r="O109" s="32"/>
      <c r="P109" s="36">
        <f>IF(SUM(D109:O109)=0,"0",AVERAGEIF(D109:O109,"&lt;&gt;0",D109:O109))</f>
      </c>
      <c r="Q109" s="35"/>
    </row>
    <row r="110">
      <c r="A110" s="34">
        <v>108</v>
      </c>
      <c r="B110" s="31" t="str">
        <v>河南</v>
      </c>
      <c r="C110" s="37" t="str">
        <v>政府性基金及附加</v>
      </c>
      <c r="D110" s="36" cm="1">
        <f t="array" ref="D110:D110">_xlfn.XLOOKUP($B$110,'分表5-政府性基金及附加'!$B$2：'分表5-政府性基金及附加'!$B$199,'分表5-政府性基金及附加'!$D$2：'分表5-政府性基金及附加'!$D$199)</f>
      </c>
      <c r="E110" s="36" cm="1">
        <f t="array" ref="E110:E110">_xlfn.XLOOKUP($B$110,'分表5-政府性基金及附加'!$B$2：'分表5-政府性基金及附加'!$B$199,'分表5-政府性基金及附加'!$D$2：'分表5-政府性基金及附加'!$D$199)</f>
      </c>
      <c r="F110" s="36" cm="1">
        <f t="array" ref="F110:F110">_xlfn.XLOOKUP($B$110,'分表5-政府性基金及附加'!$B$2：'分表5-政府性基金及附加'!$B$199,'分表5-政府性基金及附加'!$D$2：'分表5-政府性基金及附加'!$D$199)</f>
      </c>
      <c r="G110" s="36" cm="1">
        <f t="array" ref="G110:G110">_xlfn.XLOOKUP($B$110,'分表5-政府性基金及附加'!$B$2：'分表5-政府性基金及附加'!$B$199,'分表5-政府性基金及附加'!$D$2：'分表5-政府性基金及附加'!$D$199)</f>
      </c>
      <c r="H110" s="36" cm="1">
        <f t="array" ref="H110:H110">_xlfn.XLOOKUP($B$110,'分表5-政府性基金及附加'!$B$2：'分表5-政府性基金及附加'!$B$199,'分表5-政府性基金及附加'!$D$2：'分表5-政府性基金及附加'!$D$199)</f>
      </c>
      <c r="I110" s="32"/>
      <c r="J110" s="33"/>
      <c r="K110" s="32"/>
      <c r="L110" s="32"/>
      <c r="M110" s="32"/>
      <c r="N110" s="32"/>
      <c r="O110" s="32"/>
      <c r="P110" s="36">
        <f>IF(SUM(D110:O110)=0,"0",AVERAGEIF(D110:O110,"&lt;&gt;0",D110:O110))</f>
      </c>
      <c r="Q110" s="35"/>
    </row>
    <row customHeight="true" ht="19" r="111">
      <c r="A111" s="34">
        <v>109</v>
      </c>
      <c r="B111" s="31" t="str">
        <v>河南</v>
      </c>
      <c r="C111" s="37" t="str">
        <v>系统运行费折价</v>
      </c>
      <c r="D111" s="32">
        <f>'分表3-2026系统运行费'!FQ2</f>
      </c>
      <c r="E111" s="32">
        <f>'分表3-2026系统运行费'!FR2</f>
      </c>
      <c r="F111" s="32">
        <f>'分表3-2026系统运行费'!FS2</f>
      </c>
      <c r="G111" s="32">
        <f>'分表3-2026系统运行费'!FT2</f>
      </c>
      <c r="H111" s="32">
        <f>'分表3-2026系统运行费'!FU2</f>
      </c>
      <c r="I111" s="32"/>
      <c r="J111" s="33"/>
      <c r="K111" s="32"/>
      <c r="L111" s="32"/>
      <c r="M111" s="32"/>
      <c r="N111" s="32"/>
      <c r="O111" s="32"/>
      <c r="P111" s="36">
        <f>IF(SUM(D111:O111)=0,"0",AVERAGEIF(D111:O111,"&lt;&gt;0",D111:O111))</f>
      </c>
      <c r="Q111" s="35"/>
    </row>
    <row r="112">
      <c r="A112" s="34">
        <v>110</v>
      </c>
      <c r="B112" s="31" t="str">
        <v>河南</v>
      </c>
      <c r="C112" s="37" t="str">
        <v>综合平段电价--电网代购</v>
      </c>
      <c r="D112" s="36">
        <f>IF(D109="/","/",SUM(D107:D111))</f>
      </c>
      <c r="E112" s="36">
        <f>IF(E109="/","/",SUM(E107:E111))</f>
      </c>
      <c r="F112" s="36">
        <f>IF(F109="/","/",SUM(F107:F111))</f>
      </c>
      <c r="G112" s="36">
        <f>IF(G109="/","/",SUM(G107:G111))</f>
      </c>
      <c r="H112" s="36">
        <f>IF(H109="/","/",SUM(H107:H111))</f>
      </c>
      <c r="I112" s="32"/>
      <c r="J112" s="33"/>
      <c r="K112" s="32"/>
      <c r="L112" s="32"/>
      <c r="M112" s="32"/>
      <c r="N112" s="32"/>
      <c r="O112" s="32"/>
      <c r="P112" s="36">
        <f>IF(SUM(D112:O112)=0,"0",AVERAGEIF(D112:O112,"&lt;&gt;0",D112:O112))</f>
      </c>
      <c r="Q112" s="35"/>
    </row>
    <row r="113">
      <c r="A113" s="34">
        <v>111</v>
      </c>
      <c r="B113" s="31" t="str">
        <v>河南</v>
      </c>
      <c r="C113" s="37" t="str">
        <v>入市交易购电价格</v>
      </c>
      <c r="D113" s="32">
        <f>'分表7-2026交易价格'!D15</f>
      </c>
      <c r="E113" s="32">
        <f>'分表7-2026交易价格'!E15</f>
      </c>
      <c r="F113" s="32">
        <f>'分表7-2026交易价格'!F15</f>
      </c>
      <c r="G113" s="32">
        <f>'分表7-2026交易价格'!G15</f>
      </c>
      <c r="H113" s="32">
        <f>'分表7-2026交易价格'!H15</f>
      </c>
      <c r="I113" s="32"/>
      <c r="J113" s="33"/>
      <c r="K113" s="32"/>
      <c r="L113" s="32"/>
      <c r="M113" s="32"/>
      <c r="N113" s="32"/>
      <c r="O113" s="32"/>
      <c r="P113" s="36">
        <f>IF(SUM(D113:O113)=0,"0",AVERAGEIF(D113:O113,"&lt;&gt;0",D113:O113))</f>
      </c>
      <c r="Q113" s="35"/>
    </row>
    <row r="114">
      <c r="A114" s="34">
        <v>112</v>
      </c>
      <c r="B114" s="31" t="str">
        <v>河南</v>
      </c>
      <c r="C114" s="37" t="str">
        <v>综合平段电价--入市交易</v>
      </c>
      <c r="D114" s="36">
        <f>IF(D109="/","/",IF(D113&gt;0,D113+SUM(D108:D111),"/"))</f>
      </c>
      <c r="E114" s="36">
        <f>IF(E109="/","/",IF(E113&gt;0,E113+SUM(E108:E111),"/"))</f>
      </c>
      <c r="F114" s="36">
        <f>IF(F109="/","/",IF(F113&gt;0,F113+SUM(F108:F111),"/"))</f>
      </c>
      <c r="G114" s="36">
        <f>IF(G109="/","/",IF(G113&gt;0,G113+SUM(G108:G111),"/"))</f>
      </c>
      <c r="H114" s="36">
        <f>IF(H109="/","/",IF(H113&gt;0,H113+SUM(H108:H111),"/"))</f>
      </c>
      <c r="I114" s="32"/>
      <c r="J114" s="33"/>
      <c r="K114" s="32"/>
      <c r="L114" s="32"/>
      <c r="M114" s="32"/>
      <c r="N114" s="32"/>
      <c r="O114" s="32"/>
      <c r="P114" s="36">
        <f>IF(SUM(D114:O114)=0,"0",AVERAGEIF(D114:O114,"&lt;&gt;0",D114:O114))</f>
      </c>
      <c r="Q114" s="35"/>
    </row>
    <row r="115">
      <c r="A115" s="34">
        <v>113</v>
      </c>
      <c r="B115" s="40" t="str">
        <v>湖南</v>
      </c>
      <c r="C115" s="39" t="str">
        <v>代理购电价格</v>
      </c>
      <c r="D115" s="34">
        <f>'分表1-2026电网代购价'!D45</f>
      </c>
      <c r="E115" s="34">
        <f>'分表1-2026电网代购价'!E45</f>
      </c>
      <c r="F115" s="34">
        <f>'分表1-2026电网代购价'!F45</f>
      </c>
      <c r="G115" s="34">
        <f>'分表1-2026电网代购价'!G45</f>
      </c>
      <c r="H115" s="34">
        <f>'分表1-2026电网代购价'!H45</f>
      </c>
      <c r="I115" s="34"/>
      <c r="J115" s="34"/>
      <c r="K115" s="34"/>
      <c r="L115" s="34"/>
      <c r="M115" s="34"/>
      <c r="N115" s="34"/>
      <c r="O115" s="34"/>
      <c r="P115" s="34">
        <f>IF(SUM(D115:O115)=0,"0",AVERAGEIF(D115:O115,"&lt;&gt;0",D115:O115))</f>
      </c>
      <c r="Q115" s="38"/>
    </row>
    <row r="116">
      <c r="A116" s="34">
        <v>114</v>
      </c>
      <c r="B116" s="40" t="str">
        <v>湖南</v>
      </c>
      <c r="C116" s="39" t="str">
        <v>上网环节线损电价</v>
      </c>
      <c r="D116" s="34">
        <f>'分表2-2026上网环节线损'!C16</f>
      </c>
      <c r="E116" s="34">
        <f>'分表2-2026上网环节线损'!D16</f>
      </c>
      <c r="F116" s="34">
        <f>'分表2-2026上网环节线损'!E16</f>
      </c>
      <c r="G116" s="34">
        <f>'分表2-2026上网环节线损'!F16</f>
      </c>
      <c r="H116" s="34">
        <f>'分表2-2026上网环节线损'!G16</f>
      </c>
      <c r="I116" s="34"/>
      <c r="J116" s="34"/>
      <c r="K116" s="34"/>
      <c r="L116" s="34"/>
      <c r="M116" s="34"/>
      <c r="N116" s="34"/>
      <c r="O116" s="34"/>
      <c r="P116" s="34">
        <f>IF(SUM(D116:O116)=0,"0",AVERAGEIF(D116:O116,"&lt;&gt;0",D116:O116))</f>
      </c>
      <c r="Q116" s="38"/>
    </row>
    <row r="117">
      <c r="A117" s="34">
        <v>115</v>
      </c>
      <c r="B117" s="40" t="str">
        <v>湖南</v>
      </c>
      <c r="C117" s="39" t="str">
        <v>电度输配电价</v>
      </c>
      <c r="D117" s="34" cm="1">
        <f t="array" ref="D117:D117">_xlfn.XLOOKUP($C$1,'分表4-电度输配电价'!$C114：'分表4-电度输配电价'!$C121&amp;'分表4-电度输配电价'!$D114：'分表4-电度输配电价'!$D121,'分表4-电度输配电价'!$E114：'分表4-电度输配电价'!$E121)</f>
      </c>
      <c r="E117" s="34" cm="1">
        <f t="array" ref="E117:E117">_xlfn.XLOOKUP($C$1,'分表4-电度输配电价'!$C114：'分表4-电度输配电价'!$C121&amp;'分表4-电度输配电价'!$D114：'分表4-电度输配电价'!$D121,'分表4-电度输配电价'!$E114：'分表4-电度输配电价'!$E121)</f>
      </c>
      <c r="F117" s="34" cm="1">
        <f t="array" ref="F117:F117">_xlfn.XLOOKUP($C$1,'分表4-电度输配电价'!$C114：'分表4-电度输配电价'!$C121&amp;'分表4-电度输配电价'!$D114：'分表4-电度输配电价'!$D121,'分表4-电度输配电价'!$E114：'分表4-电度输配电价'!$E121)</f>
      </c>
      <c r="G117" s="34" cm="1">
        <f t="array" ref="G117:G117">_xlfn.XLOOKUP($C$1,'分表4-电度输配电价'!$C114：'分表4-电度输配电价'!$C121&amp;'分表4-电度输配电价'!$D114：'分表4-电度输配电价'!$D121,'分表4-电度输配电价'!$E114：'分表4-电度输配电价'!$E121)</f>
      </c>
      <c r="H117" s="34" cm="1">
        <f t="array" ref="H117:H117">_xlfn.XLOOKUP($C$1,'分表4-电度输配电价'!$C114：'分表4-电度输配电价'!$C121&amp;'分表4-电度输配电价'!$D114：'分表4-电度输配电价'!$D121,'分表4-电度输配电价'!$E114：'分表4-电度输配电价'!$E121)</f>
      </c>
      <c r="I117" s="34"/>
      <c r="J117" s="34"/>
      <c r="K117" s="34"/>
      <c r="L117" s="34"/>
      <c r="M117" s="34"/>
      <c r="N117" s="34"/>
      <c r="O117" s="34"/>
      <c r="P117" s="34">
        <f>IF(SUM(D117:O117)=0,"0",AVERAGEIF(D117:O117,"&lt;&gt;0",D117:O117))</f>
      </c>
      <c r="Q117" s="38"/>
    </row>
    <row r="118">
      <c r="A118" s="34">
        <v>116</v>
      </c>
      <c r="B118" s="40" t="str">
        <v>湖南</v>
      </c>
      <c r="C118" s="39" t="str">
        <v>政府性基金及附加</v>
      </c>
      <c r="D118" s="34" cm="1">
        <f t="array" ref="D118:D118">_xlfn.XLOOKUP($B$118,'分表5-政府性基金及附加'!$B$2：'分表5-政府性基金及附加'!$B$199,'分表5-政府性基金及附加'!$D$2：'分表5-政府性基金及附加'!$D$199)</f>
      </c>
      <c r="E118" s="34" cm="1">
        <f t="array" ref="E118:E118">_xlfn.XLOOKUP($B$118,'分表5-政府性基金及附加'!$B$2：'分表5-政府性基金及附加'!$B$199,'分表5-政府性基金及附加'!$D$2：'分表5-政府性基金及附加'!$D$199)</f>
      </c>
      <c r="F118" s="34" cm="1">
        <f t="array" ref="F118:F118">_xlfn.XLOOKUP($B$118,'分表5-政府性基金及附加'!$B$2：'分表5-政府性基金及附加'!$B$199,'分表5-政府性基金及附加'!$D$2：'分表5-政府性基金及附加'!$D$199)</f>
      </c>
      <c r="G118" s="34" cm="1">
        <f t="array" ref="G118:G118">_xlfn.XLOOKUP($B$118,'分表5-政府性基金及附加'!$B$2：'分表5-政府性基金及附加'!$B$199,'分表5-政府性基金及附加'!$D$2：'分表5-政府性基金及附加'!$D$199)</f>
      </c>
      <c r="H118" s="34" cm="1">
        <f t="array" ref="H118:H118">_xlfn.XLOOKUP($B$118,'分表5-政府性基金及附加'!$B$2：'分表5-政府性基金及附加'!$B$199,'分表5-政府性基金及附加'!$D$2：'分表5-政府性基金及附加'!$D$199)</f>
      </c>
      <c r="I118" s="34"/>
      <c r="J118" s="34"/>
      <c r="K118" s="34"/>
      <c r="L118" s="34"/>
      <c r="M118" s="34"/>
      <c r="N118" s="34"/>
      <c r="O118" s="34"/>
      <c r="P118" s="34">
        <f>IF(SUM(D118:O118)=0,"0",AVERAGEIF(D118:O118,"&lt;&gt;0",D118:O118))</f>
      </c>
      <c r="Q118" s="38"/>
    </row>
    <row r="119">
      <c r="A119" s="34">
        <v>117</v>
      </c>
      <c r="B119" s="40" t="str">
        <v>湖南</v>
      </c>
      <c r="C119" s="39" t="str">
        <v>系统运行费折价</v>
      </c>
      <c r="D119" s="34">
        <f>'分表3-2026系统运行费'!GD2</f>
      </c>
      <c r="E119" s="34">
        <f>'分表3-2026系统运行费'!GE2</f>
      </c>
      <c r="F119" s="34">
        <f>'分表3-2026系统运行费'!GF2</f>
      </c>
      <c r="G119" s="34">
        <f>'分表3-2026系统运行费'!GG2</f>
      </c>
      <c r="H119" s="34">
        <f>'分表3-2026系统运行费'!GH2</f>
      </c>
      <c r="I119" s="34"/>
      <c r="J119" s="34"/>
      <c r="K119" s="34"/>
      <c r="L119" s="34"/>
      <c r="M119" s="34"/>
      <c r="N119" s="34"/>
      <c r="O119" s="34"/>
      <c r="P119" s="34">
        <f>IF(SUM(D119:O119)=0,"0",AVERAGEIF(D119:O119,"&lt;&gt;0",D119:O119))</f>
      </c>
      <c r="Q119" s="38"/>
    </row>
    <row r="120">
      <c r="A120" s="34">
        <v>118</v>
      </c>
      <c r="B120" s="40" t="str">
        <v>湖南</v>
      </c>
      <c r="C120" s="39" t="str">
        <v>综合平段电价--电网代购</v>
      </c>
      <c r="D120" s="34">
        <f>IF(D117="/","/",SUM(D115:D119))</f>
      </c>
      <c r="E120" s="34">
        <f>IF(E117="/","/",SUM(E115:E119))</f>
      </c>
      <c r="F120" s="34">
        <f>IF(F117="/","/",SUM(F115:F119))</f>
      </c>
      <c r="G120" s="34">
        <f>IF(G117="/","/",SUM(G115:G119))</f>
      </c>
      <c r="H120" s="34">
        <f>IF(H117="/","/",SUM(H115:H119))</f>
      </c>
      <c r="I120" s="34"/>
      <c r="J120" s="34"/>
      <c r="K120" s="34"/>
      <c r="L120" s="34"/>
      <c r="M120" s="34"/>
      <c r="N120" s="34"/>
      <c r="O120" s="34"/>
      <c r="P120" s="34">
        <f>IF(SUM(D120:O120)=0,"0",AVERAGEIF(D120:O120,"&lt;&gt;0",D120:O120))</f>
      </c>
      <c r="Q120" s="38"/>
    </row>
    <row r="121">
      <c r="A121" s="34">
        <v>119</v>
      </c>
      <c r="B121" s="40" t="str">
        <v>湖南</v>
      </c>
      <c r="C121" s="39" t="str">
        <v>入市交易购电价格</v>
      </c>
      <c r="D121" s="34">
        <f>'分表7-2026交易价格'!D16</f>
      </c>
      <c r="E121" s="34">
        <f>'分表7-2026交易价格'!E16</f>
      </c>
      <c r="F121" s="34">
        <f>'分表7-2026交易价格'!F16</f>
      </c>
      <c r="G121" s="34">
        <f>'分表7-2026交易价格'!G16</f>
      </c>
      <c r="H121" s="34">
        <f>'分表7-2026交易价格'!H16</f>
      </c>
      <c r="I121" s="34"/>
      <c r="J121" s="34"/>
      <c r="K121" s="34"/>
      <c r="L121" s="34"/>
      <c r="M121" s="34"/>
      <c r="N121" s="34"/>
      <c r="O121" s="34"/>
      <c r="P121" s="34">
        <f>IF(SUM(D121:O121)=0,"0",AVERAGEIF(D121:O121,"&lt;&gt;0",D121:O121))</f>
      </c>
      <c r="Q121" s="38"/>
    </row>
    <row customHeight="true" ht="19" r="122">
      <c r="A122" s="34">
        <v>120</v>
      </c>
      <c r="B122" s="40" t="str">
        <v>湖南</v>
      </c>
      <c r="C122" s="39" t="str">
        <v>综合平段电价--入市交易</v>
      </c>
      <c r="D122" s="34">
        <f>IF(D117="/","/",IF(D121&gt;0,D121+SUM(D116:D119),"/"))</f>
      </c>
      <c r="E122" s="34">
        <f>IF(E117="/","/",IF(E121&gt;0,E121+SUM(E116:E119),"/"))</f>
      </c>
      <c r="F122" s="34">
        <f>IF(F117="/","/",IF(F121&gt;0,F121+SUM(F116:F119),"/"))</f>
      </c>
      <c r="G122" s="34">
        <f>IF(G117="/","/",IF(G121&gt;0,G121+SUM(G116:G119),"/"))</f>
      </c>
      <c r="H122" s="34">
        <f>IF(H117="/","/",IF(H121&gt;0,H121+SUM(H116:H119),"/"))</f>
      </c>
      <c r="I122" s="34"/>
      <c r="J122" s="34"/>
      <c r="K122" s="34"/>
      <c r="L122" s="34"/>
      <c r="M122" s="34"/>
      <c r="N122" s="34"/>
      <c r="O122" s="34"/>
      <c r="P122" s="34">
        <f>IF(SUM(D122:O122)=0,"0",AVERAGEIF(D122:O122,"&lt;&gt;0",D122:O122))</f>
      </c>
      <c r="Q122" s="38"/>
    </row>
    <row r="123">
      <c r="A123" s="34">
        <v>121</v>
      </c>
      <c r="B123" s="31" t="str">
        <v>江西</v>
      </c>
      <c r="C123" s="37" t="str">
        <v>代理购电价格</v>
      </c>
      <c r="D123" s="36">
        <f>'分表1-2026电网代购价'!D49</f>
      </c>
      <c r="E123" s="36">
        <f>'分表1-2026电网代购价'!E49</f>
      </c>
      <c r="F123" s="36">
        <f>'分表1-2026电网代购价'!F49</f>
      </c>
      <c r="G123" s="36">
        <f>'分表1-2026电网代购价'!G49</f>
      </c>
      <c r="H123" s="36">
        <f>'分表1-2026电网代购价'!H49</f>
      </c>
      <c r="I123" s="36"/>
      <c r="J123" s="36"/>
      <c r="K123" s="36"/>
      <c r="L123" s="36"/>
      <c r="M123" s="36"/>
      <c r="N123" s="36"/>
      <c r="O123" s="36"/>
      <c r="P123" s="36">
        <f>IF(SUM(D123:O123)=0,"0",AVERAGEIF(D123:O123,"&lt;&gt;0",D123:O123))</f>
      </c>
      <c r="Q123" s="35"/>
    </row>
    <row r="124">
      <c r="A124" s="34">
        <v>122</v>
      </c>
      <c r="B124" s="31" t="str">
        <v>江西</v>
      </c>
      <c r="C124" s="37" t="str">
        <v>上网环节线损电价</v>
      </c>
      <c r="D124" s="32">
        <f>'分表2-2026上网环节线损'!C17</f>
      </c>
      <c r="E124" s="32">
        <f>'分表2-2026上网环节线损'!D17</f>
      </c>
      <c r="F124" s="32">
        <f>'分表2-2026上网环节线损'!E17</f>
      </c>
      <c r="G124" s="32">
        <f>'分表2-2026上网环节线损'!F17</f>
      </c>
      <c r="H124" s="32">
        <f>'分表2-2026上网环节线损'!G17</f>
      </c>
      <c r="I124" s="32"/>
      <c r="J124" s="33"/>
      <c r="K124" s="32"/>
      <c r="L124" s="32"/>
      <c r="M124" s="32"/>
      <c r="N124" s="32"/>
      <c r="O124" s="32"/>
      <c r="P124" s="36">
        <f>IF(SUM(D124:O124)=0,"0",AVERAGEIF(D124:O124,"&lt;&gt;0",D124:O124))</f>
      </c>
      <c r="Q124" s="35"/>
    </row>
    <row r="125">
      <c r="A125" s="34">
        <v>123</v>
      </c>
      <c r="B125" s="31" t="str">
        <v>江西</v>
      </c>
      <c r="C125" s="37" t="str">
        <v>电度输配电价</v>
      </c>
      <c r="D125" s="36" cm="1">
        <f t="array" ref="D125:D125">_xlfn.XLOOKUP($C$1,'分表4-电度输配电价'!$C122：'分表4-电度输配电价'!$C129&amp;'分表4-电度输配电价'!$D122：'分表4-电度输配电价'!$D129,'分表4-电度输配电价'!$E122：'分表4-电度输配电价'!$E129)</f>
      </c>
      <c r="E125" s="36" cm="1">
        <f t="array" ref="E125:E125">_xlfn.XLOOKUP($C$1,'分表4-电度输配电价'!$C122：'分表4-电度输配电价'!$C129&amp;'分表4-电度输配电价'!$D122：'分表4-电度输配电价'!$D129,'分表4-电度输配电价'!$E122：'分表4-电度输配电价'!$E129)</f>
      </c>
      <c r="F125" s="36" cm="1">
        <f t="array" ref="F125:F125">_xlfn.XLOOKUP($C$1,'分表4-电度输配电价'!$C122：'分表4-电度输配电价'!$C129&amp;'分表4-电度输配电价'!$D122：'分表4-电度输配电价'!$D129,'分表4-电度输配电价'!$E122：'分表4-电度输配电价'!$E129)</f>
      </c>
      <c r="G125" s="36" cm="1">
        <f t="array" ref="G125:G125">_xlfn.XLOOKUP($C$1,'分表4-电度输配电价'!$C122：'分表4-电度输配电价'!$C129&amp;'分表4-电度输配电价'!$D122：'分表4-电度输配电价'!$D129,'分表4-电度输配电价'!$E122：'分表4-电度输配电价'!$E129)</f>
      </c>
      <c r="H125" s="36" cm="1">
        <f t="array" ref="H125:H125">_xlfn.XLOOKUP($C$1,'分表4-电度输配电价'!$C122：'分表4-电度输配电价'!$C129&amp;'分表4-电度输配电价'!$D122：'分表4-电度输配电价'!$D129,'分表4-电度输配电价'!$E122：'分表4-电度输配电价'!$E129)</f>
      </c>
      <c r="I125" s="32"/>
      <c r="J125" s="33"/>
      <c r="K125" s="32"/>
      <c r="L125" s="32"/>
      <c r="M125" s="32"/>
      <c r="N125" s="32"/>
      <c r="O125" s="32"/>
      <c r="P125" s="36">
        <f>IF(SUM(D125:O125)=0,"0",AVERAGEIF(D125:O125,"&lt;&gt;0",D125:O125))</f>
      </c>
      <c r="Q125" s="35"/>
    </row>
    <row r="126">
      <c r="A126" s="34">
        <v>124</v>
      </c>
      <c r="B126" s="31" t="str">
        <v>江西</v>
      </c>
      <c r="C126" s="37" t="str">
        <v>政府性基金及附加</v>
      </c>
      <c r="D126" s="36" cm="1">
        <f t="array" ref="D126:D126">_xlfn.XLOOKUP($B$126,'分表5-政府性基金及附加'!$B$2：'分表5-政府性基金及附加'!$B$199,'分表5-政府性基金及附加'!$D$2：'分表5-政府性基金及附加'!$D$199)</f>
      </c>
      <c r="E126" s="36" cm="1">
        <f t="array" ref="E126:E126">_xlfn.XLOOKUP($B$126,'分表5-政府性基金及附加'!$B$2：'分表5-政府性基金及附加'!$B$199,'分表5-政府性基金及附加'!$D$2：'分表5-政府性基金及附加'!$D$199)</f>
      </c>
      <c r="F126" s="36" cm="1">
        <f t="array" ref="F126:F126">_xlfn.XLOOKUP($B$126,'分表5-政府性基金及附加'!$B$2：'分表5-政府性基金及附加'!$B$199,'分表5-政府性基金及附加'!$D$2：'分表5-政府性基金及附加'!$D$199)</f>
      </c>
      <c r="G126" s="36" cm="1">
        <f t="array" ref="G126:G126">_xlfn.XLOOKUP($B$126,'分表5-政府性基金及附加'!$B$2：'分表5-政府性基金及附加'!$B$199,'分表5-政府性基金及附加'!$D$2：'分表5-政府性基金及附加'!$D$199)</f>
      </c>
      <c r="H126" s="36" cm="1">
        <f t="array" ref="H126:H126">_xlfn.XLOOKUP($B$126,'分表5-政府性基金及附加'!$B$2：'分表5-政府性基金及附加'!$B$199,'分表5-政府性基金及附加'!$D$2：'分表5-政府性基金及附加'!$D$199)</f>
      </c>
      <c r="I126" s="32"/>
      <c r="J126" s="33"/>
      <c r="K126" s="32"/>
      <c r="L126" s="32"/>
      <c r="M126" s="32"/>
      <c r="N126" s="32"/>
      <c r="O126" s="32"/>
      <c r="P126" s="36">
        <f>IF(SUM(D126:O126)=0,"0",AVERAGEIF(D126:O126,"&lt;&gt;0",D126:O126))</f>
      </c>
      <c r="Q126" s="35"/>
    </row>
    <row r="127">
      <c r="A127" s="34">
        <v>125</v>
      </c>
      <c r="B127" s="31" t="str">
        <v>江西</v>
      </c>
      <c r="C127" s="37" t="str">
        <v>系统运行费折价</v>
      </c>
      <c r="D127" s="32">
        <f>'分表3-2026系统运行费'!GQ2</f>
      </c>
      <c r="E127" s="32">
        <f>'分表3-2026系统运行费'!GR2</f>
      </c>
      <c r="F127" s="32">
        <f>'分表3-2026系统运行费'!GS2</f>
      </c>
      <c r="G127" s="32">
        <f>'分表3-2026系统运行费'!GT2</f>
      </c>
      <c r="H127" s="32">
        <f>'分表3-2026系统运行费'!GU2</f>
      </c>
      <c r="I127" s="32"/>
      <c r="J127" s="33"/>
      <c r="K127" s="32"/>
      <c r="L127" s="32"/>
      <c r="M127" s="32"/>
      <c r="N127" s="32"/>
      <c r="O127" s="32"/>
      <c r="P127" s="36">
        <f>IF(SUM(D127:O127)=0,"0",AVERAGEIF(D127:O127,"&lt;&gt;0",D127:O127))</f>
      </c>
      <c r="Q127" s="35"/>
    </row>
    <row customHeight="true" ht="19" r="128">
      <c r="A128" s="34">
        <v>126</v>
      </c>
      <c r="B128" s="31" t="str">
        <v>江西</v>
      </c>
      <c r="C128" s="37" t="str">
        <v>综合平段电价--电网代购</v>
      </c>
      <c r="D128" s="36">
        <f>IF(D125="/","/",SUM(D123:D127))</f>
      </c>
      <c r="E128" s="36">
        <f>IF(E125="/","/",SUM(E123:E127))</f>
      </c>
      <c r="F128" s="36">
        <f>IF(F125="/","/",SUM(F123:F127))</f>
      </c>
      <c r="G128" s="36">
        <f>IF(G125="/","/",SUM(G123:G127))</f>
      </c>
      <c r="H128" s="36">
        <f>IF(H125="/","/",SUM(H123:H127))</f>
      </c>
      <c r="I128" s="32"/>
      <c r="J128" s="33"/>
      <c r="K128" s="32"/>
      <c r="L128" s="32"/>
      <c r="M128" s="32"/>
      <c r="N128" s="32"/>
      <c r="O128" s="32"/>
      <c r="P128" s="36">
        <f>IF(SUM(D128:O128)=0,"0",AVERAGEIF(D128:O128,"&lt;&gt;0",D128:O128))</f>
      </c>
      <c r="Q128" s="35"/>
    </row>
    <row r="129">
      <c r="A129" s="34">
        <v>127</v>
      </c>
      <c r="B129" s="31" t="str">
        <v>江西</v>
      </c>
      <c r="C129" s="37" t="str">
        <v>入市交易购电价格</v>
      </c>
      <c r="D129" s="32">
        <f>'分表7-2026交易价格'!D17</f>
      </c>
      <c r="E129" s="32">
        <f>'分表7-2026交易价格'!E17</f>
      </c>
      <c r="F129" s="32">
        <f>'分表7-2026交易价格'!F17</f>
      </c>
      <c r="G129" s="32">
        <f>'分表7-2026交易价格'!G17</f>
      </c>
      <c r="H129" s="32">
        <f>'分表7-2026交易价格'!H17</f>
      </c>
      <c r="I129" s="32"/>
      <c r="J129" s="33"/>
      <c r="K129" s="32"/>
      <c r="L129" s="32"/>
      <c r="M129" s="32"/>
      <c r="N129" s="32"/>
      <c r="O129" s="32"/>
      <c r="P129" s="36">
        <f>IF(SUM(D129:O129)=0,"0",AVERAGEIF(D129:O129,"&lt;&gt;0",D129:O129))</f>
      </c>
      <c r="Q129" s="35"/>
    </row>
    <row r="130">
      <c r="A130" s="34">
        <v>128</v>
      </c>
      <c r="B130" s="31" t="str">
        <v>江西</v>
      </c>
      <c r="C130" s="37" t="str">
        <v>综合平段电价--入市交易</v>
      </c>
      <c r="D130" s="36">
        <f>IF(D125="/","/",IF(D129&gt;0,D129+SUM(D124:D127),"/"))</f>
      </c>
      <c r="E130" s="36">
        <f>IF(E125="/","/",IF(E129&gt;0,E129+SUM(E124:E127),"/"))</f>
      </c>
      <c r="F130" s="36">
        <f>IF(F125="/","/",IF(F129&gt;0,F129+SUM(F124:F127),"/"))</f>
      </c>
      <c r="G130" s="36">
        <f>IF(G125="/","/",IF(G129&gt;0,G129+SUM(G124:G127),"/"))</f>
      </c>
      <c r="H130" s="36">
        <f>IF(H125="/","/",IF(H129&gt;0,H129+SUM(H124:H127),"/"))</f>
      </c>
      <c r="I130" s="32"/>
      <c r="J130" s="33"/>
      <c r="K130" s="32"/>
      <c r="L130" s="32"/>
      <c r="M130" s="32"/>
      <c r="N130" s="32"/>
      <c r="O130" s="32"/>
      <c r="P130" s="36">
        <f>IF(SUM(D130:O130)=0,"0",AVERAGEIF(D130:O130,"&lt;&gt;0",D130:O130))</f>
      </c>
      <c r="Q130" s="35"/>
    </row>
    <row r="131">
      <c r="A131" s="34">
        <v>129</v>
      </c>
      <c r="B131" s="40" t="str">
        <v>辽宁</v>
      </c>
      <c r="C131" s="39" t="str">
        <v>代理购电价格</v>
      </c>
      <c r="D131" s="34">
        <f>'分表1-2026电网代购价'!D52</f>
      </c>
      <c r="E131" s="34">
        <f>'分表1-2026电网代购价'!E52</f>
      </c>
      <c r="F131" s="34">
        <f>'分表1-2026电网代购价'!F52</f>
      </c>
      <c r="G131" s="34">
        <f>'分表1-2026电网代购价'!G52</f>
      </c>
      <c r="H131" s="34">
        <f>'分表1-2026电网代购价'!H52</f>
      </c>
      <c r="I131" s="34"/>
      <c r="J131" s="34"/>
      <c r="K131" s="34"/>
      <c r="L131" s="34"/>
      <c r="M131" s="34"/>
      <c r="N131" s="34"/>
      <c r="O131" s="34"/>
      <c r="P131" s="34">
        <f>IF(SUM(D131:O131)=0,"0",AVERAGEIF(D131:O131,"&lt;&gt;0",D131:O131))</f>
      </c>
      <c r="Q131" s="38"/>
    </row>
    <row r="132">
      <c r="A132" s="34">
        <v>130</v>
      </c>
      <c r="B132" s="40" t="str">
        <v>辽宁</v>
      </c>
      <c r="C132" s="39" t="str">
        <v>上网环节线损电价</v>
      </c>
      <c r="D132" s="34">
        <f>'分表2-2026上网环节线损'!C18</f>
      </c>
      <c r="E132" s="34">
        <f>'分表2-2026上网环节线损'!D18</f>
      </c>
      <c r="F132" s="34">
        <f>'分表2-2026上网环节线损'!E18</f>
      </c>
      <c r="G132" s="34">
        <f>'分表2-2026上网环节线损'!F18</f>
      </c>
      <c r="H132" s="34">
        <f>'分表2-2026上网环节线损'!G18</f>
      </c>
      <c r="I132" s="34"/>
      <c r="J132" s="34"/>
      <c r="K132" s="34"/>
      <c r="L132" s="34"/>
      <c r="M132" s="34"/>
      <c r="N132" s="34"/>
      <c r="O132" s="34"/>
      <c r="P132" s="34">
        <f>IF(SUM(D132:O132)=0,"0",AVERAGEIF(D132:O132,"&lt;&gt;0",D132:O132))</f>
      </c>
      <c r="Q132" s="38"/>
    </row>
    <row r="133">
      <c r="A133" s="34">
        <v>131</v>
      </c>
      <c r="B133" s="40" t="str">
        <v>辽宁</v>
      </c>
      <c r="C133" s="39" t="str">
        <v>电度输配电价</v>
      </c>
      <c r="D133" s="34" cm="1">
        <f t="array" ref="D133:D133">_xlfn.XLOOKUP($C$1,'分表4-电度输配电价'!$C130：'分表4-电度输配电价'!$C137&amp;'分表4-电度输配电价'!$D130：'分表4-电度输配电价'!$D137,'分表4-电度输配电价'!$E130：'分表4-电度输配电价'!$E137)</f>
      </c>
      <c r="E133" s="34" cm="1">
        <f t="array" ref="E133:E133">_xlfn.XLOOKUP($C$1,'分表4-电度输配电价'!$C130：'分表4-电度输配电价'!$C137&amp;'分表4-电度输配电价'!$D130：'分表4-电度输配电价'!$D137,'分表4-电度输配电价'!$E130：'分表4-电度输配电价'!$E137)</f>
      </c>
      <c r="F133" s="34" cm="1">
        <f t="array" ref="F133:F133">_xlfn.XLOOKUP($C$1,'分表4-电度输配电价'!$C130：'分表4-电度输配电价'!$C137&amp;'分表4-电度输配电价'!$D130：'分表4-电度输配电价'!$D137,'分表4-电度输配电价'!$E130：'分表4-电度输配电价'!$E137)</f>
      </c>
      <c r="G133" s="34" cm="1">
        <f t="array" ref="G133:G133">_xlfn.XLOOKUP($C$1,'分表4-电度输配电价'!$C130：'分表4-电度输配电价'!$C137&amp;'分表4-电度输配电价'!$D130：'分表4-电度输配电价'!$D137,'分表4-电度输配电价'!$E130：'分表4-电度输配电价'!$E137)</f>
      </c>
      <c r="H133" s="34" cm="1">
        <f t="array" ref="H133:H133">_xlfn.XLOOKUP($C$1,'分表4-电度输配电价'!$C130：'分表4-电度输配电价'!$C137&amp;'分表4-电度输配电价'!$D130：'分表4-电度输配电价'!$D137,'分表4-电度输配电价'!$E130：'分表4-电度输配电价'!$E137)</f>
      </c>
      <c r="I133" s="34"/>
      <c r="J133" s="34"/>
      <c r="K133" s="34"/>
      <c r="L133" s="34"/>
      <c r="M133" s="34"/>
      <c r="N133" s="34"/>
      <c r="O133" s="34"/>
      <c r="P133" s="34">
        <f>IF(SUM(D133:O133)=0,"0",AVERAGEIF(D133:O133,"&lt;&gt;0",D133:O133))</f>
      </c>
      <c r="Q133" s="38"/>
    </row>
    <row customHeight="true" ht="19" r="134">
      <c r="A134" s="34">
        <v>132</v>
      </c>
      <c r="B134" s="40" t="str">
        <v>辽宁</v>
      </c>
      <c r="C134" s="39" t="str">
        <v>政府性基金及附加</v>
      </c>
      <c r="D134" s="34" cm="1">
        <f t="array" ref="D134:D134">_xlfn.XLOOKUP($B$134,'分表5-政府性基金及附加'!$B$2：'分表5-政府性基金及附加'!$B$199,'分表5-政府性基金及附加'!$D$2：'分表5-政府性基金及附加'!$D$199)</f>
      </c>
      <c r="E134" s="34" cm="1">
        <f t="array" ref="E134:E134">_xlfn.XLOOKUP($B$134,'分表5-政府性基金及附加'!$B$2：'分表5-政府性基金及附加'!$B$199,'分表5-政府性基金及附加'!$D$2：'分表5-政府性基金及附加'!$D$199)</f>
      </c>
      <c r="F134" s="34" cm="1">
        <f t="array" ref="F134:F134">_xlfn.XLOOKUP($B$134,'分表5-政府性基金及附加'!$B$2：'分表5-政府性基金及附加'!$B$199,'分表5-政府性基金及附加'!$D$2：'分表5-政府性基金及附加'!$D$199)</f>
      </c>
      <c r="G134" s="34" cm="1">
        <f t="array" ref="G134:G134">_xlfn.XLOOKUP($B$134,'分表5-政府性基金及附加'!$B$2：'分表5-政府性基金及附加'!$B$199,'分表5-政府性基金及附加'!$D$2：'分表5-政府性基金及附加'!$D$199)</f>
      </c>
      <c r="H134" s="34" cm="1">
        <f t="array" ref="H134:H134">_xlfn.XLOOKUP($B$134,'分表5-政府性基金及附加'!$B$2：'分表5-政府性基金及附加'!$B$199,'分表5-政府性基金及附加'!$D$2：'分表5-政府性基金及附加'!$D$199)</f>
      </c>
      <c r="I134" s="34"/>
      <c r="J134" s="34"/>
      <c r="K134" s="34"/>
      <c r="L134" s="34"/>
      <c r="M134" s="34"/>
      <c r="N134" s="34"/>
      <c r="O134" s="34"/>
      <c r="P134" s="34">
        <f>IF(SUM(D134:O134)=0,"0",AVERAGEIF(D134:O134,"&lt;&gt;0",D134:O134))</f>
      </c>
      <c r="Q134" s="38"/>
    </row>
    <row r="135">
      <c r="A135" s="34">
        <v>133</v>
      </c>
      <c r="B135" s="40" t="str">
        <v>辽宁</v>
      </c>
      <c r="C135" s="39" t="str">
        <v>系统运行费折价</v>
      </c>
      <c r="D135" s="34">
        <f>'分表3-2026系统运行费'!HD2</f>
      </c>
      <c r="E135" s="34">
        <f>'分表3-2026系统运行费'!HE2</f>
      </c>
      <c r="F135" s="34">
        <f>'分表3-2026系统运行费'!HF2</f>
      </c>
      <c r="G135" s="34">
        <f>'分表3-2026系统运行费'!HG2</f>
      </c>
      <c r="H135" s="34">
        <f>'分表3-2026系统运行费'!HH2</f>
      </c>
      <c r="I135" s="34"/>
      <c r="J135" s="34"/>
      <c r="K135" s="34"/>
      <c r="L135" s="34"/>
      <c r="M135" s="34"/>
      <c r="N135" s="34"/>
      <c r="O135" s="34"/>
      <c r="P135" s="34">
        <f>IF(SUM(D135:O135)=0,"0",AVERAGEIF(D135:O135,"&lt;&gt;0",D135:O135))</f>
      </c>
      <c r="Q135" s="38"/>
    </row>
    <row r="136">
      <c r="A136" s="34">
        <v>134</v>
      </c>
      <c r="B136" s="40" t="str">
        <v>辽宁</v>
      </c>
      <c r="C136" s="39" t="str">
        <v>综合平段电价--电网代购</v>
      </c>
      <c r="D136" s="34">
        <f>IF(D133="/","/",SUM(D131:D135))</f>
      </c>
      <c r="E136" s="34">
        <f>IF(E133="/","/",SUM(E131:E135))</f>
      </c>
      <c r="F136" s="34">
        <f>IF(F133="/","/",SUM(F131:F135))</f>
      </c>
      <c r="G136" s="34">
        <f>IF(G133="/","/",SUM(G131:G135))</f>
      </c>
      <c r="H136" s="34">
        <f>IF(H133="/","/",SUM(H131:H135))</f>
      </c>
      <c r="I136" s="34"/>
      <c r="J136" s="34"/>
      <c r="K136" s="34"/>
      <c r="L136" s="34"/>
      <c r="M136" s="34"/>
      <c r="N136" s="34"/>
      <c r="O136" s="34"/>
      <c r="P136" s="34">
        <f>IF(SUM(D136:O136)=0,"0",AVERAGEIF(D136:O136,"&lt;&gt;0",D136:O136))</f>
      </c>
      <c r="Q136" s="38"/>
    </row>
    <row r="137">
      <c r="A137" s="34">
        <v>135</v>
      </c>
      <c r="B137" s="40" t="str">
        <v>辽宁</v>
      </c>
      <c r="C137" s="39" t="str">
        <v>入市交易购电价格</v>
      </c>
      <c r="D137" s="34">
        <f>'分表7-2026交易价格'!D18</f>
      </c>
      <c r="E137" s="34">
        <f>'分表7-2026交易价格'!E18</f>
      </c>
      <c r="F137" s="34">
        <f>'分表7-2026交易价格'!F18</f>
      </c>
      <c r="G137" s="34">
        <f>'分表7-2026交易价格'!G18</f>
      </c>
      <c r="H137" s="34">
        <f>'分表7-2026交易价格'!H18</f>
      </c>
      <c r="I137" s="34"/>
      <c r="J137" s="34"/>
      <c r="K137" s="34"/>
      <c r="L137" s="34"/>
      <c r="M137" s="34"/>
      <c r="N137" s="34"/>
      <c r="O137" s="34"/>
      <c r="P137" s="34">
        <f>IF(SUM(D137:O137)=0,"0",AVERAGEIF(D137:O137,"&lt;&gt;0",D137:O137))</f>
      </c>
      <c r="Q137" s="38"/>
    </row>
    <row r="138">
      <c r="A138" s="34">
        <v>136</v>
      </c>
      <c r="B138" s="40" t="str">
        <v>辽宁</v>
      </c>
      <c r="C138" s="39" t="str">
        <v>综合平段电价--入市交易</v>
      </c>
      <c r="D138" s="34">
        <f>IF(D133="/","/",IF(D137&gt;0,D137+SUM(D132:D135),"/"))</f>
      </c>
      <c r="E138" s="34">
        <f>IF(E133="/","/",IF(E137&gt;0,E137+SUM(E132:E135),"/"))</f>
      </c>
      <c r="F138" s="34">
        <f>IF(F133="/","/",IF(F137&gt;0,F137+SUM(F132:F135),"/"))</f>
      </c>
      <c r="G138" s="34">
        <f>IF(G133="/","/",IF(G137&gt;0,G137+SUM(G132:G135),"/"))</f>
      </c>
      <c r="H138" s="34">
        <f>IF(H133="/","/",IF(H137&gt;0,H137+SUM(H132:H135),"/"))</f>
      </c>
      <c r="I138" s="34"/>
      <c r="J138" s="34"/>
      <c r="K138" s="34"/>
      <c r="L138" s="34"/>
      <c r="M138" s="34"/>
      <c r="N138" s="34"/>
      <c r="O138" s="34"/>
      <c r="P138" s="34">
        <f>IF(SUM(D138:O138)=0,"0",AVERAGEIF(D138:O138,"&lt;&gt;0",D138:O138))</f>
      </c>
      <c r="Q138" s="38"/>
    </row>
    <row r="139">
      <c r="A139" s="34">
        <v>137</v>
      </c>
      <c r="B139" s="31" t="str">
        <v>吉林</v>
      </c>
      <c r="C139" s="37" t="str">
        <v>代理购电价格</v>
      </c>
      <c r="D139" s="36">
        <f>'分表1-2026电网代购价'!D55</f>
      </c>
      <c r="E139" s="36">
        <f>'分表1-2026电网代购价'!E55</f>
      </c>
      <c r="F139" s="36">
        <f>'分表1-2026电网代购价'!F55</f>
      </c>
      <c r="G139" s="36">
        <f>'分表1-2026电网代购价'!G55</f>
      </c>
      <c r="H139" s="36">
        <f>'分表1-2026电网代购价'!H55</f>
      </c>
      <c r="I139" s="36"/>
      <c r="J139" s="36"/>
      <c r="K139" s="36"/>
      <c r="L139" s="36"/>
      <c r="M139" s="36"/>
      <c r="N139" s="36"/>
      <c r="O139" s="36"/>
      <c r="P139" s="36">
        <f>IF(SUM(D139:O139)=0,"0",AVERAGEIF(D139:O139,"&lt;&gt;0",D139:O139))</f>
      </c>
      <c r="Q139" s="35"/>
    </row>
    <row r="140">
      <c r="A140" s="34">
        <v>138</v>
      </c>
      <c r="B140" s="31" t="str">
        <v>吉林</v>
      </c>
      <c r="C140" s="37" t="str">
        <v>上网环节线损电价</v>
      </c>
      <c r="D140" s="32">
        <f>'分表2-2026上网环节线损'!C19</f>
      </c>
      <c r="E140" s="32">
        <f>'分表2-2026上网环节线损'!D19</f>
      </c>
      <c r="F140" s="32">
        <f>'分表2-2026上网环节线损'!E19</f>
      </c>
      <c r="G140" s="32">
        <f>'分表2-2026上网环节线损'!F19</f>
      </c>
      <c r="H140" s="32">
        <f>'分表2-2026上网环节线损'!G19</f>
      </c>
      <c r="I140" s="32"/>
      <c r="J140" s="33"/>
      <c r="K140" s="32"/>
      <c r="L140" s="32"/>
      <c r="M140" s="32"/>
      <c r="N140" s="32"/>
      <c r="O140" s="32"/>
      <c r="P140" s="36">
        <f>IF(SUM(D140:O140)=0,"0",AVERAGEIF(D140:O140,"&lt;&gt;0",D140:O140))</f>
      </c>
      <c r="Q140" s="35"/>
    </row>
    <row r="141">
      <c r="A141" s="34">
        <v>139</v>
      </c>
      <c r="B141" s="31" t="str">
        <v>吉林</v>
      </c>
      <c r="C141" s="37" t="str">
        <v>电度输配电价</v>
      </c>
      <c r="D141" s="36" cm="1">
        <f t="array" ref="D141:D141">_xlfn.XLOOKUP($C$1,'分表4-电度输配电价'!$C138：'分表4-电度输配电价'!$C145&amp;'分表4-电度输配电价'!$D138：'分表4-电度输配电价'!$D145,'分表4-电度输配电价'!$E138：'分表4-电度输配电价'!$E145)</f>
      </c>
      <c r="E141" s="36" cm="1">
        <f t="array" ref="E141:E141">_xlfn.XLOOKUP($C$1,'分表4-电度输配电价'!$C138：'分表4-电度输配电价'!$C145&amp;'分表4-电度输配电价'!$D138：'分表4-电度输配电价'!$D145,'分表4-电度输配电价'!$E138：'分表4-电度输配电价'!$E145)</f>
      </c>
      <c r="F141" s="36" cm="1">
        <f t="array" ref="F141:F141">_xlfn.XLOOKUP($C$1,'分表4-电度输配电价'!$C138：'分表4-电度输配电价'!$C145&amp;'分表4-电度输配电价'!$D138：'分表4-电度输配电价'!$D145,'分表4-电度输配电价'!$E138：'分表4-电度输配电价'!$E145)</f>
      </c>
      <c r="G141" s="36" cm="1">
        <f t="array" ref="G141:G141">_xlfn.XLOOKUP($C$1,'分表4-电度输配电价'!$C138：'分表4-电度输配电价'!$C145&amp;'分表4-电度输配电价'!$D138：'分表4-电度输配电价'!$D145,'分表4-电度输配电价'!$E138：'分表4-电度输配电价'!$E145)</f>
      </c>
      <c r="H141" s="36" cm="1">
        <f t="array" ref="H141:H141">_xlfn.XLOOKUP($C$1,'分表4-电度输配电价'!$C138：'分表4-电度输配电价'!$C145&amp;'分表4-电度输配电价'!$D138：'分表4-电度输配电价'!$D145,'分表4-电度输配电价'!$E138：'分表4-电度输配电价'!$E145)</f>
      </c>
      <c r="I141" s="32"/>
      <c r="J141" s="33"/>
      <c r="K141" s="32"/>
      <c r="L141" s="32"/>
      <c r="M141" s="32"/>
      <c r="N141" s="32"/>
      <c r="O141" s="32"/>
      <c r="P141" s="36">
        <f>IF(SUM(D141:O141)=0,"0",AVERAGEIF(D141:O141,"&lt;&gt;0",D141:O141))</f>
      </c>
      <c r="Q141" s="35"/>
    </row>
    <row r="142">
      <c r="A142" s="34">
        <v>140</v>
      </c>
      <c r="B142" s="31" t="str">
        <v>吉林</v>
      </c>
      <c r="C142" s="37" t="str">
        <v>政府性基金及附加</v>
      </c>
      <c r="D142" s="36" cm="1">
        <f t="array" ref="D142:D142">_xlfn.XLOOKUP($B$142,'分表5-政府性基金及附加'!$B$2：'分表5-政府性基金及附加'!$B$199,'分表5-政府性基金及附加'!$D$2：'分表5-政府性基金及附加'!$D$199)</f>
      </c>
      <c r="E142" s="36" cm="1">
        <f t="array" ref="E142:E142">_xlfn.XLOOKUP($B$142,'分表5-政府性基金及附加'!$B$2：'分表5-政府性基金及附加'!$B$199,'分表5-政府性基金及附加'!$D$2：'分表5-政府性基金及附加'!$D$199)</f>
      </c>
      <c r="F142" s="36" cm="1">
        <f t="array" ref="F142:F142">_xlfn.XLOOKUP($B$142,'分表5-政府性基金及附加'!$B$2：'分表5-政府性基金及附加'!$B$199,'分表5-政府性基金及附加'!$D$2：'分表5-政府性基金及附加'!$D$199)</f>
      </c>
      <c r="G142" s="36" cm="1">
        <f t="array" ref="G142:G142">_xlfn.XLOOKUP($B$142,'分表5-政府性基金及附加'!$B$2：'分表5-政府性基金及附加'!$B$199,'分表5-政府性基金及附加'!$D$2：'分表5-政府性基金及附加'!$D$199)</f>
      </c>
      <c r="H142" s="36" cm="1">
        <f t="array" ref="H142:H142">_xlfn.XLOOKUP($B$142,'分表5-政府性基金及附加'!$B$2：'分表5-政府性基金及附加'!$B$199,'分表5-政府性基金及附加'!$D$2：'分表5-政府性基金及附加'!$D$199)</f>
      </c>
      <c r="I142" s="32"/>
      <c r="J142" s="33"/>
      <c r="K142" s="32"/>
      <c r="L142" s="32"/>
      <c r="M142" s="32"/>
      <c r="N142" s="32"/>
      <c r="O142" s="32"/>
      <c r="P142" s="36">
        <f>IF(SUM(D142:O142)=0,"0",AVERAGEIF(D142:O142,"&lt;&gt;0",D142:O142))</f>
      </c>
      <c r="Q142" s="35"/>
    </row>
    <row r="143">
      <c r="A143" s="34">
        <v>141</v>
      </c>
      <c r="B143" s="31" t="str">
        <v>吉林</v>
      </c>
      <c r="C143" s="37" t="str">
        <v>系统运行费折价</v>
      </c>
      <c r="D143" s="32">
        <f>'分表3-2026系统运行费'!HQ2</f>
      </c>
      <c r="E143" s="32">
        <f>'分表3-2026系统运行费'!HR2</f>
      </c>
      <c r="F143" s="32">
        <f>'分表3-2026系统运行费'!HS2</f>
      </c>
      <c r="G143" s="32">
        <f>'分表3-2026系统运行费'!HT2</f>
      </c>
      <c r="H143" s="32">
        <f>'分表3-2026系统运行费'!HU2</f>
      </c>
      <c r="I143" s="32"/>
      <c r="J143" s="33"/>
      <c r="K143" s="32"/>
      <c r="L143" s="32"/>
      <c r="M143" s="32"/>
      <c r="N143" s="32"/>
      <c r="O143" s="32"/>
      <c r="P143" s="36">
        <f>IF(SUM(D143:O143)=0,"0",AVERAGEIF(D143:O143,"&lt;&gt;0",D143:O143))</f>
      </c>
      <c r="Q143" s="35"/>
    </row>
    <row r="144">
      <c r="A144" s="34">
        <v>142</v>
      </c>
      <c r="B144" s="31" t="str">
        <v>吉林</v>
      </c>
      <c r="C144" s="37" t="str">
        <v>综合平段电价--电网代购</v>
      </c>
      <c r="D144" s="36">
        <f>IF(D141="/","/",SUM(D139:D143))</f>
      </c>
      <c r="E144" s="36">
        <f>IF(E141="/","/",SUM(E139:E143))</f>
      </c>
      <c r="F144" s="36">
        <f>IF(F141="/","/",SUM(F139:F143))</f>
      </c>
      <c r="G144" s="36">
        <f>IF(G141="/","/",SUM(G139:G143))</f>
      </c>
      <c r="H144" s="36">
        <f>IF(H141="/","/",SUM(H139:H143))</f>
      </c>
      <c r="I144" s="32"/>
      <c r="J144" s="33"/>
      <c r="K144" s="32"/>
      <c r="L144" s="32"/>
      <c r="M144" s="32"/>
      <c r="N144" s="32"/>
      <c r="O144" s="32"/>
      <c r="P144" s="36">
        <f>IF(SUM(D144:O144)=0,"0",AVERAGEIF(D144:O144,"&lt;&gt;0",D144:O144))</f>
      </c>
      <c r="Q144" s="35"/>
    </row>
    <row r="145">
      <c r="A145" s="34">
        <v>143</v>
      </c>
      <c r="B145" s="31" t="str">
        <v>吉林</v>
      </c>
      <c r="C145" s="37" t="str">
        <v>入市交易购电价格</v>
      </c>
      <c r="D145" s="32">
        <f>'分表7-2026交易价格'!D19</f>
      </c>
      <c r="E145" s="32">
        <f>'分表7-2026交易价格'!E19</f>
      </c>
      <c r="F145" s="32">
        <f>'分表7-2026交易价格'!F19</f>
      </c>
      <c r="G145" s="32">
        <f>'分表7-2026交易价格'!G19</f>
      </c>
      <c r="H145" s="32">
        <f>'分表7-2026交易价格'!H19</f>
      </c>
      <c r="I145" s="32"/>
      <c r="J145" s="33"/>
      <c r="K145" s="32"/>
      <c r="L145" s="32"/>
      <c r="M145" s="32"/>
      <c r="N145" s="32"/>
      <c r="O145" s="32"/>
      <c r="P145" s="36">
        <f>IF(SUM(D145:O145)=0,"0",AVERAGEIF(D145:O145,"&lt;&gt;0",D145:O145))</f>
      </c>
      <c r="Q145" s="35"/>
    </row>
    <row r="146">
      <c r="A146" s="34">
        <v>144</v>
      </c>
      <c r="B146" s="31" t="str">
        <v>吉林</v>
      </c>
      <c r="C146" s="37" t="str">
        <v>综合平段电价--入市交易</v>
      </c>
      <c r="D146" s="36">
        <f>IF(D141="/","/",IF(D145&gt;0,D145+SUM(D140:D143),"/"))</f>
      </c>
      <c r="E146" s="36">
        <f>IF(E141="/","/",IF(E145&gt;0,E145+SUM(E140:E143),"/"))</f>
      </c>
      <c r="F146" s="36">
        <f>IF(F141="/","/",IF(F145&gt;0,F145+SUM(F140:F143),"/"))</f>
      </c>
      <c r="G146" s="36">
        <f>IF(G141="/","/",IF(G145&gt;0,G145+SUM(G140:G143),"/"))</f>
      </c>
      <c r="H146" s="36">
        <f>IF(H141="/","/",IF(H145&gt;0,H145+SUM(H140:H143),"/"))</f>
      </c>
      <c r="I146" s="32"/>
      <c r="J146" s="33"/>
      <c r="K146" s="32"/>
      <c r="L146" s="32"/>
      <c r="M146" s="32"/>
      <c r="N146" s="32"/>
      <c r="O146" s="32"/>
      <c r="P146" s="36">
        <f>IF(SUM(D146:O146)=0,"0",AVERAGEIF(D146:O146,"&lt;&gt;0",D146:O146))</f>
      </c>
      <c r="Q146" s="35"/>
    </row>
    <row r="147">
      <c r="A147" s="34">
        <v>145</v>
      </c>
      <c r="B147" s="40" t="str">
        <v>黑龙江</v>
      </c>
      <c r="C147" s="39" t="str">
        <v>代理购电价格</v>
      </c>
      <c r="D147" s="34">
        <f>'分表1-2026电网代购价'!D58</f>
      </c>
      <c r="E147" s="34">
        <f>'分表1-2026电网代购价'!E58</f>
      </c>
      <c r="F147" s="34">
        <f>'分表1-2026电网代购价'!F58</f>
      </c>
      <c r="G147" s="34">
        <f>'分表1-2026电网代购价'!G58</f>
      </c>
      <c r="H147" s="34">
        <f>'分表1-2026电网代购价'!H58</f>
      </c>
      <c r="I147" s="34"/>
      <c r="J147" s="34"/>
      <c r="K147" s="34"/>
      <c r="L147" s="34"/>
      <c r="M147" s="34"/>
      <c r="N147" s="34"/>
      <c r="O147" s="34"/>
      <c r="P147" s="34">
        <f>IF(SUM(D147:O147)=0,"0",AVERAGEIF(D147:O147,"&lt;&gt;0",D147:O147))</f>
      </c>
      <c r="Q147" s="38"/>
    </row>
    <row r="148">
      <c r="A148" s="34">
        <v>146</v>
      </c>
      <c r="B148" s="40" t="str">
        <v>黑龙江</v>
      </c>
      <c r="C148" s="39" t="str">
        <v>上网环节线损电价</v>
      </c>
      <c r="D148" s="34">
        <f>'分表2-2026上网环节线损'!C20</f>
      </c>
      <c r="E148" s="34">
        <f>'分表2-2026上网环节线损'!D20</f>
      </c>
      <c r="F148" s="34">
        <f>'分表2-2026上网环节线损'!E20</f>
      </c>
      <c r="G148" s="34">
        <f>'分表2-2026上网环节线损'!F20</f>
      </c>
      <c r="H148" s="34">
        <f>'分表2-2026上网环节线损'!G20</f>
      </c>
      <c r="I148" s="34"/>
      <c r="J148" s="34"/>
      <c r="K148" s="34"/>
      <c r="L148" s="34"/>
      <c r="M148" s="34"/>
      <c r="N148" s="34"/>
      <c r="O148" s="34"/>
      <c r="P148" s="34">
        <f>IF(SUM(D148:O148)=0,"0",AVERAGEIF(D148:O148,"&lt;&gt;0",D148:O148))</f>
      </c>
      <c r="Q148" s="38"/>
    </row>
    <row r="149">
      <c r="A149" s="34">
        <v>147</v>
      </c>
      <c r="B149" s="40" t="str">
        <v>黑龙江</v>
      </c>
      <c r="C149" s="39" t="str">
        <v>电度输配电价</v>
      </c>
      <c r="D149" s="34" cm="1">
        <f t="array" ref="D149:D149">_xlfn.XLOOKUP($C$1,'分表4-电度输配电价'!$C146：'分表4-电度输配电价'!$C153&amp;'分表4-电度输配电价'!$D146：'分表4-电度输配电价'!$D153,'分表4-电度输配电价'!$E146：'分表4-电度输配电价'!$E153)</f>
      </c>
      <c r="E149" s="34" cm="1">
        <f t="array" ref="E149:E149">_xlfn.XLOOKUP($C$1,'分表4-电度输配电价'!$C146：'分表4-电度输配电价'!$C153&amp;'分表4-电度输配电价'!$D146：'分表4-电度输配电价'!$D153,'分表4-电度输配电价'!$E146：'分表4-电度输配电价'!$E153)</f>
      </c>
      <c r="F149" s="34" cm="1">
        <f t="array" ref="F149:F149">_xlfn.XLOOKUP($C$1,'分表4-电度输配电价'!$C146：'分表4-电度输配电价'!$C153&amp;'分表4-电度输配电价'!$D146：'分表4-电度输配电价'!$D153,'分表4-电度输配电价'!$E146：'分表4-电度输配电价'!$E153)</f>
      </c>
      <c r="G149" s="34" cm="1">
        <f t="array" ref="G149:G149">_xlfn.XLOOKUP($C$1,'分表4-电度输配电价'!$C146：'分表4-电度输配电价'!$C153&amp;'分表4-电度输配电价'!$D146：'分表4-电度输配电价'!$D153,'分表4-电度输配电价'!$E146：'分表4-电度输配电价'!$E153)</f>
      </c>
      <c r="H149" s="34" cm="1">
        <f t="array" ref="H149:H149">_xlfn.XLOOKUP($C$1,'分表4-电度输配电价'!$C146：'分表4-电度输配电价'!$C153&amp;'分表4-电度输配电价'!$D146：'分表4-电度输配电价'!$D153,'分表4-电度输配电价'!$E146：'分表4-电度输配电价'!$E153)</f>
      </c>
      <c r="I149" s="34"/>
      <c r="J149" s="34"/>
      <c r="K149" s="34"/>
      <c r="L149" s="34"/>
      <c r="M149" s="34"/>
      <c r="N149" s="34"/>
      <c r="O149" s="34"/>
      <c r="P149" s="34">
        <f>IF(SUM(D149:O149)=0,"0",AVERAGEIF(D149:O149,"&lt;&gt;0",D149:O149))</f>
      </c>
      <c r="Q149" s="38"/>
    </row>
    <row r="150">
      <c r="A150" s="34">
        <v>148</v>
      </c>
      <c r="B150" s="40" t="str">
        <v>黑龙江</v>
      </c>
      <c r="C150" s="39" t="str">
        <v>政府性基金及附加</v>
      </c>
      <c r="D150" s="34" cm="1">
        <f t="array" ref="D150:D150">_xlfn.XLOOKUP($B$150,'分表5-政府性基金及附加'!$B$2：'分表5-政府性基金及附加'!$B$199,'分表5-政府性基金及附加'!$D$2：'分表5-政府性基金及附加'!$D$199)</f>
      </c>
      <c r="E150" s="34" cm="1">
        <f t="array" ref="E150:E150">_xlfn.XLOOKUP($B$150,'分表5-政府性基金及附加'!$B$2：'分表5-政府性基金及附加'!$B$199,'分表5-政府性基金及附加'!$D$2：'分表5-政府性基金及附加'!$D$199)</f>
      </c>
      <c r="F150" s="34" cm="1">
        <f t="array" ref="F150:F150">_xlfn.XLOOKUP($B$150,'分表5-政府性基金及附加'!$B$2：'分表5-政府性基金及附加'!$B$199,'分表5-政府性基金及附加'!$D$2：'分表5-政府性基金及附加'!$D$199)</f>
      </c>
      <c r="G150" s="34" cm="1">
        <f t="array" ref="G150:G150">_xlfn.XLOOKUP($B$150,'分表5-政府性基金及附加'!$B$2：'分表5-政府性基金及附加'!$B$199,'分表5-政府性基金及附加'!$D$2：'分表5-政府性基金及附加'!$D$199)</f>
      </c>
      <c r="H150" s="34" cm="1">
        <f t="array" ref="H150:H150">_xlfn.XLOOKUP($B$150,'分表5-政府性基金及附加'!$B$2：'分表5-政府性基金及附加'!$B$199,'分表5-政府性基金及附加'!$D$2：'分表5-政府性基金及附加'!$D$199)</f>
      </c>
      <c r="I150" s="34"/>
      <c r="J150" s="34"/>
      <c r="K150" s="34"/>
      <c r="L150" s="34"/>
      <c r="M150" s="34"/>
      <c r="N150" s="34"/>
      <c r="O150" s="34"/>
      <c r="P150" s="34">
        <f>IF(SUM(D150:O150)=0,"0",AVERAGEIF(D150:O150,"&lt;&gt;0",D150:O150))</f>
      </c>
      <c r="Q150" s="38"/>
    </row>
    <row r="151">
      <c r="A151" s="34">
        <v>149</v>
      </c>
      <c r="B151" s="40" t="str">
        <v>黑龙江</v>
      </c>
      <c r="C151" s="39" t="str">
        <v>系统运行费折价</v>
      </c>
      <c r="D151" s="34">
        <f>'分表3-2026系统运行费'!ID2</f>
      </c>
      <c r="E151" s="34">
        <f>'分表3-2026系统运行费'!IE2</f>
      </c>
      <c r="F151" s="34">
        <f>'分表3-2026系统运行费'!IF2</f>
      </c>
      <c r="G151" s="34">
        <f>'分表3-2026系统运行费'!IG2</f>
      </c>
      <c r="H151" s="34">
        <f>'分表3-2026系统运行费'!IH2</f>
      </c>
      <c r="I151" s="34"/>
      <c r="J151" s="34"/>
      <c r="K151" s="34"/>
      <c r="L151" s="34"/>
      <c r="M151" s="34"/>
      <c r="N151" s="34"/>
      <c r="O151" s="34"/>
      <c r="P151" s="34">
        <f>IF(SUM(D151:O151)=0,"0",AVERAGEIF(D151:O151,"&lt;&gt;0",D151:O151))</f>
      </c>
      <c r="Q151" s="38"/>
    </row>
    <row r="152">
      <c r="A152" s="34">
        <v>150</v>
      </c>
      <c r="B152" s="40" t="str">
        <v>黑龙江</v>
      </c>
      <c r="C152" s="39" t="str">
        <v>综合平段电价--电网代购</v>
      </c>
      <c r="D152" s="34">
        <f>IF(D149="/","/",SUM(D147:D151))</f>
      </c>
      <c r="E152" s="34">
        <f>IF(E149="/","/",SUM(E147:E151))</f>
      </c>
      <c r="F152" s="34">
        <f>IF(F149="/","/",SUM(F147:F151))</f>
      </c>
      <c r="G152" s="34">
        <f>IF(G149="/","/",SUM(G147:G151))</f>
      </c>
      <c r="H152" s="34">
        <f>IF(H149="/","/",SUM(H147:H151))</f>
      </c>
      <c r="I152" s="34"/>
      <c r="J152" s="34"/>
      <c r="K152" s="34"/>
      <c r="L152" s="34"/>
      <c r="M152" s="34"/>
      <c r="N152" s="34"/>
      <c r="O152" s="34"/>
      <c r="P152" s="34">
        <f>IF(SUM(D152:O152)=0,"0",AVERAGEIF(D152:O152,"&lt;&gt;0",D152:O152))</f>
      </c>
      <c r="Q152" s="38"/>
    </row>
    <row r="153">
      <c r="A153" s="34">
        <v>151</v>
      </c>
      <c r="B153" s="40" t="str">
        <v>黑龙江</v>
      </c>
      <c r="C153" s="39" t="str">
        <v>入市交易购电价格</v>
      </c>
      <c r="D153" s="34">
        <f>'分表7-2026交易价格'!D20</f>
      </c>
      <c r="E153" s="34">
        <f>'分表7-2026交易价格'!E20</f>
      </c>
      <c r="F153" s="34">
        <f>'分表7-2026交易价格'!F20</f>
      </c>
      <c r="G153" s="34">
        <f>'分表7-2026交易价格'!G20</f>
      </c>
      <c r="H153" s="34">
        <f>'分表7-2026交易价格'!H20</f>
      </c>
      <c r="I153" s="34"/>
      <c r="J153" s="34"/>
      <c r="K153" s="34"/>
      <c r="L153" s="34"/>
      <c r="M153" s="34"/>
      <c r="N153" s="34"/>
      <c r="O153" s="34"/>
      <c r="P153" s="34">
        <f>IF(SUM(D153:O153)=0,"0",AVERAGEIF(D153:O153,"&lt;&gt;0",D153:O153))</f>
      </c>
      <c r="Q153" s="38"/>
    </row>
    <row r="154">
      <c r="A154" s="34">
        <v>152</v>
      </c>
      <c r="B154" s="40" t="str">
        <v>黑龙江</v>
      </c>
      <c r="C154" s="39" t="str">
        <v>综合平段电价--入市交易</v>
      </c>
      <c r="D154" s="34">
        <f>IF(D149="/","/",IF(D153&gt;0,D153+SUM(D148:D151),"/"))</f>
      </c>
      <c r="E154" s="34">
        <f>IF(E149="/","/",IF(E153&gt;0,E153+SUM(E148:E151),"/"))</f>
      </c>
      <c r="F154" s="34">
        <f>IF(F149="/","/",IF(F153&gt;0,F153+SUM(F148:F151),"/"))</f>
      </c>
      <c r="G154" s="34">
        <f>IF(G149="/","/",IF(G153&gt;0,G153+SUM(G148:G151),"/"))</f>
      </c>
      <c r="H154" s="34">
        <f>IF(H149="/","/",IF(H153&gt;0,H153+SUM(H148:H151),"/"))</f>
      </c>
      <c r="I154" s="34"/>
      <c r="J154" s="34"/>
      <c r="K154" s="34"/>
      <c r="L154" s="34"/>
      <c r="M154" s="34"/>
      <c r="N154" s="34"/>
      <c r="O154" s="34"/>
      <c r="P154" s="34">
        <f>IF(SUM(D154:O154)=0,"0",AVERAGEIF(D154:O154,"&lt;&gt;0",D154:O154))</f>
      </c>
      <c r="Q154" s="38"/>
    </row>
    <row customHeight="true" ht="19" r="155">
      <c r="A155" s="34">
        <v>153</v>
      </c>
      <c r="B155" s="31" t="str">
        <v>蒙东</v>
      </c>
      <c r="C155" s="37" t="str">
        <v>代理购电价格</v>
      </c>
      <c r="D155" s="36">
        <f>'分表1-2026电网代购价'!D61</f>
      </c>
      <c r="E155" s="36">
        <f>'分表1-2026电网代购价'!E61</f>
      </c>
      <c r="F155" s="36">
        <f>'分表1-2026电网代购价'!F61</f>
      </c>
      <c r="G155" s="36">
        <f>'分表1-2026电网代购价'!G61</f>
      </c>
      <c r="H155" s="36">
        <f>'分表1-2026电网代购价'!H61</f>
      </c>
      <c r="I155" s="36"/>
      <c r="J155" s="36"/>
      <c r="K155" s="36"/>
      <c r="L155" s="36"/>
      <c r="M155" s="36"/>
      <c r="N155" s="36"/>
      <c r="O155" s="36"/>
      <c r="P155" s="36">
        <f>IF(SUM(D155:O155)=0,"0",AVERAGEIF(D155:O155,"&lt;&gt;0",D155:O155))</f>
      </c>
      <c r="Q155" s="35"/>
    </row>
    <row r="156">
      <c r="A156" s="34">
        <v>154</v>
      </c>
      <c r="B156" s="31" t="str">
        <v>蒙东</v>
      </c>
      <c r="C156" s="37" t="str">
        <v>上网环节线损电价</v>
      </c>
      <c r="D156" s="32">
        <f>'分表2-2026上网环节线损'!C21</f>
      </c>
      <c r="E156" s="32">
        <f>'分表2-2026上网环节线损'!D21</f>
      </c>
      <c r="F156" s="32">
        <f>'分表2-2026上网环节线损'!E21</f>
      </c>
      <c r="G156" s="32">
        <f>'分表2-2026上网环节线损'!F21</f>
      </c>
      <c r="H156" s="32">
        <f>'分表2-2026上网环节线损'!G21</f>
      </c>
      <c r="I156" s="32"/>
      <c r="J156" s="33"/>
      <c r="K156" s="32"/>
      <c r="L156" s="32"/>
      <c r="M156" s="32"/>
      <c r="N156" s="32"/>
      <c r="O156" s="32"/>
      <c r="P156" s="36">
        <f>IF(SUM(D156:O156)=0,"0",AVERAGEIF(D156:O156,"&lt;&gt;0",D156:O156))</f>
      </c>
      <c r="Q156" s="35"/>
    </row>
    <row r="157">
      <c r="A157" s="34">
        <v>155</v>
      </c>
      <c r="B157" s="31" t="str">
        <v>蒙东</v>
      </c>
      <c r="C157" s="37" t="str">
        <v>电度输配电价</v>
      </c>
      <c r="D157" s="36" cm="1">
        <f t="array" ref="D157:D157">_xlfn.XLOOKUP($C$1,'分表4-电度输配电价'!$C154：'分表4-电度输配电价'!$C161&amp;'分表4-电度输配电价'!$D154：'分表4-电度输配电价'!$D161,'分表4-电度输配电价'!$E154：'分表4-电度输配电价'!$E161)</f>
      </c>
      <c r="E157" s="36" cm="1">
        <f t="array" ref="E157:E157">_xlfn.XLOOKUP($C$1,'分表4-电度输配电价'!$C154：'分表4-电度输配电价'!$C161&amp;'分表4-电度输配电价'!$D154：'分表4-电度输配电价'!$D161,'分表4-电度输配电价'!$E154：'分表4-电度输配电价'!$E161)</f>
      </c>
      <c r="F157" s="36" cm="1">
        <f t="array" ref="F157:F157">_xlfn.XLOOKUP($C$1,'分表4-电度输配电价'!$C154：'分表4-电度输配电价'!$C161&amp;'分表4-电度输配电价'!$D154：'分表4-电度输配电价'!$D161,'分表4-电度输配电价'!$E154：'分表4-电度输配电价'!$E161)</f>
      </c>
      <c r="G157" s="36" cm="1">
        <f t="array" ref="G157:G157">_xlfn.XLOOKUP($C$1,'分表4-电度输配电价'!$C154：'分表4-电度输配电价'!$C161&amp;'分表4-电度输配电价'!$D154：'分表4-电度输配电价'!$D161,'分表4-电度输配电价'!$E154：'分表4-电度输配电价'!$E161)</f>
      </c>
      <c r="H157" s="36" cm="1">
        <f t="array" ref="H157:H157">_xlfn.XLOOKUP($C$1,'分表4-电度输配电价'!$C154：'分表4-电度输配电价'!$C161&amp;'分表4-电度输配电价'!$D154：'分表4-电度输配电价'!$D161,'分表4-电度输配电价'!$E154：'分表4-电度输配电价'!$E161)</f>
      </c>
      <c r="I157" s="32"/>
      <c r="J157" s="33"/>
      <c r="K157" s="32"/>
      <c r="L157" s="32"/>
      <c r="M157" s="32"/>
      <c r="N157" s="32"/>
      <c r="O157" s="32"/>
      <c r="P157" s="36">
        <f>IF(SUM(D157:O157)=0,"0",AVERAGEIF(D157:O157,"&lt;&gt;0",D157:O157))</f>
      </c>
      <c r="Q157" s="35"/>
    </row>
    <row r="158">
      <c r="A158" s="34">
        <v>156</v>
      </c>
      <c r="B158" s="31" t="str">
        <v>蒙东</v>
      </c>
      <c r="C158" s="37" t="str">
        <v>政府性基金及附加</v>
      </c>
      <c r="D158" s="36" cm="1">
        <f t="array" ref="D158:D158">_xlfn.XLOOKUP($B$158,'分表5-政府性基金及附加'!$B$2：'分表5-政府性基金及附加'!$B$199,'分表5-政府性基金及附加'!$D$2：'分表5-政府性基金及附加'!$D$199)</f>
      </c>
      <c r="E158" s="36" cm="1">
        <f t="array" ref="E158:E158">_xlfn.XLOOKUP($B$158,'分表5-政府性基金及附加'!$B$2：'分表5-政府性基金及附加'!$B$199,'分表5-政府性基金及附加'!$D$2：'分表5-政府性基金及附加'!$D$199)</f>
      </c>
      <c r="F158" s="36" cm="1">
        <f t="array" ref="F158:F158">_xlfn.XLOOKUP($B$158,'分表5-政府性基金及附加'!$B$2：'分表5-政府性基金及附加'!$B$199,'分表5-政府性基金及附加'!$D$2：'分表5-政府性基金及附加'!$D$199)</f>
      </c>
      <c r="G158" s="36" cm="1">
        <f t="array" ref="G158:G158">_xlfn.XLOOKUP($B$158,'分表5-政府性基金及附加'!$B$2：'分表5-政府性基金及附加'!$B$199,'分表5-政府性基金及附加'!$D$2：'分表5-政府性基金及附加'!$D$199)</f>
      </c>
      <c r="H158" s="36" cm="1">
        <f t="array" ref="H158:H158">_xlfn.XLOOKUP($B$158,'分表5-政府性基金及附加'!$B$2：'分表5-政府性基金及附加'!$B$199,'分表5-政府性基金及附加'!$D$2：'分表5-政府性基金及附加'!$D$199)</f>
      </c>
      <c r="I158" s="32"/>
      <c r="J158" s="33"/>
      <c r="K158" s="32"/>
      <c r="L158" s="32"/>
      <c r="M158" s="32"/>
      <c r="N158" s="32"/>
      <c r="O158" s="32"/>
      <c r="P158" s="36">
        <f>IF(SUM(D158:O158)=0,"0",AVERAGEIF(D158:O158,"&lt;&gt;0",D158:O158))</f>
      </c>
      <c r="Q158" s="35"/>
    </row>
    <row r="159">
      <c r="A159" s="34">
        <v>157</v>
      </c>
      <c r="B159" s="31" t="str">
        <v>蒙东</v>
      </c>
      <c r="C159" s="37" t="str">
        <v>系统运行费折价</v>
      </c>
      <c r="D159" s="32">
        <f>'分表3-2026系统运行费'!IQ2</f>
      </c>
      <c r="E159" s="32">
        <f>'分表3-2026系统运行费'!IR2</f>
      </c>
      <c r="F159" s="32">
        <f>'分表3-2026系统运行费'!IS2</f>
      </c>
      <c r="G159" s="32">
        <f>'分表3-2026系统运行费'!IT2</f>
      </c>
      <c r="H159" s="32">
        <f>'分表3-2026系统运行费'!IU2</f>
      </c>
      <c r="I159" s="32"/>
      <c r="J159" s="33"/>
      <c r="K159" s="32"/>
      <c r="L159" s="32"/>
      <c r="M159" s="32"/>
      <c r="N159" s="32"/>
      <c r="O159" s="32"/>
      <c r="P159" s="36">
        <f>IF(SUM(D159:O159)=0,"0",AVERAGEIF(D159:O159,"&lt;&gt;0",D159:O159))</f>
      </c>
      <c r="Q159" s="35"/>
    </row>
    <row r="160">
      <c r="A160" s="34">
        <v>158</v>
      </c>
      <c r="B160" s="31" t="str">
        <v>蒙东</v>
      </c>
      <c r="C160" s="37" t="str">
        <v>综合平段电价--电网代购</v>
      </c>
      <c r="D160" s="36">
        <f>IF(D157="/","/",SUM(D155:D159))</f>
      </c>
      <c r="E160" s="36">
        <f>IF(E157="/","/",SUM(E155:E159))</f>
      </c>
      <c r="F160" s="36">
        <f>IF(F157="/","/",SUM(F155:F159))</f>
      </c>
      <c r="G160" s="36">
        <f>IF(G157="/","/",SUM(G155:G159))</f>
      </c>
      <c r="H160" s="36">
        <f>IF(H157="/","/",SUM(H155:H159))</f>
      </c>
      <c r="I160" s="32"/>
      <c r="J160" s="33"/>
      <c r="K160" s="32"/>
      <c r="L160" s="32"/>
      <c r="M160" s="32"/>
      <c r="N160" s="32"/>
      <c r="O160" s="32"/>
      <c r="P160" s="36">
        <f>IF(SUM(D160:O160)=0,"0",AVERAGEIF(D160:O160,"&lt;&gt;0",D160:O160))</f>
      </c>
      <c r="Q160" s="35"/>
    </row>
    <row r="161">
      <c r="A161" s="34">
        <v>159</v>
      </c>
      <c r="B161" s="31" t="str">
        <v>蒙东</v>
      </c>
      <c r="C161" s="37" t="str">
        <v>入市交易购电价格</v>
      </c>
      <c r="D161" s="32">
        <f>'分表7-2026交易价格'!D21</f>
      </c>
      <c r="E161" s="32">
        <f>'分表7-2026交易价格'!E21</f>
      </c>
      <c r="F161" s="32">
        <f>'分表7-2026交易价格'!F21</f>
      </c>
      <c r="G161" s="32">
        <f>'分表7-2026交易价格'!G21</f>
      </c>
      <c r="H161" s="32">
        <f>'分表7-2026交易价格'!H21</f>
      </c>
      <c r="I161" s="32"/>
      <c r="J161" s="33"/>
      <c r="K161" s="32"/>
      <c r="L161" s="32"/>
      <c r="M161" s="32"/>
      <c r="N161" s="32"/>
      <c r="O161" s="32"/>
      <c r="P161" s="36">
        <f>IF(SUM(D161:O161)=0,"0",AVERAGEIF(D161:O161,"&lt;&gt;0",D161:O161))</f>
      </c>
      <c r="Q161" s="35"/>
    </row>
    <row r="162">
      <c r="A162" s="34">
        <v>160</v>
      </c>
      <c r="B162" s="31" t="str">
        <v>蒙东</v>
      </c>
      <c r="C162" s="37" t="str">
        <v>综合平段电价--入市交易</v>
      </c>
      <c r="D162" s="36">
        <f>IF(D157="/","/",IF(D161&gt;0,D161+SUM(D156:D159),"/"))</f>
      </c>
      <c r="E162" s="36">
        <f>IF(E157="/","/",IF(E161&gt;0,E161+SUM(E156:E159),"/"))</f>
      </c>
      <c r="F162" s="36">
        <f>IF(F157="/","/",IF(F161&gt;0,F161+SUM(F156:F159),"/"))</f>
      </c>
      <c r="G162" s="36">
        <f>IF(G157="/","/",IF(G161&gt;0,G161+SUM(G156:G159),"/"))</f>
      </c>
      <c r="H162" s="36">
        <f>IF(H157="/","/",IF(H161&gt;0,H161+SUM(H156:H159),"/"))</f>
      </c>
      <c r="I162" s="32"/>
      <c r="J162" s="33"/>
      <c r="K162" s="32"/>
      <c r="L162" s="32"/>
      <c r="M162" s="32"/>
      <c r="N162" s="32"/>
      <c r="O162" s="32"/>
      <c r="P162" s="36">
        <f>IF(SUM(D162:O162)=0,"0",AVERAGEIF(D162:O162,"&lt;&gt;0",D162:O162))</f>
      </c>
      <c r="Q162" s="35"/>
    </row>
    <row r="163">
      <c r="A163" s="34">
        <v>161</v>
      </c>
      <c r="B163" s="40" t="str">
        <v>陕西</v>
      </c>
      <c r="C163" s="39" t="str">
        <v>代理购电价格</v>
      </c>
      <c r="D163" s="34">
        <f>'分表1-2026电网代购价'!D64</f>
      </c>
      <c r="E163" s="34">
        <f>'分表1-2026电网代购价'!E64</f>
      </c>
      <c r="F163" s="34">
        <f>'分表1-2026电网代购价'!F64</f>
      </c>
      <c r="G163" s="34">
        <f>'分表1-2026电网代购价'!G64</f>
      </c>
      <c r="H163" s="34">
        <f>'分表1-2026电网代购价'!H64</f>
      </c>
      <c r="I163" s="34"/>
      <c r="J163" s="34"/>
      <c r="K163" s="34"/>
      <c r="L163" s="34"/>
      <c r="M163" s="34"/>
      <c r="N163" s="34"/>
      <c r="O163" s="34"/>
      <c r="P163" s="34">
        <f>IF(SUM(D163:O163)=0,"0",AVERAGEIF(D163:O163,"&lt;&gt;0",D163:O163))</f>
      </c>
      <c r="Q163" s="38"/>
    </row>
    <row r="164">
      <c r="A164" s="34">
        <v>162</v>
      </c>
      <c r="B164" s="40" t="str">
        <v>陕西</v>
      </c>
      <c r="C164" s="39" t="str">
        <v>上网环节线损电价</v>
      </c>
      <c r="D164" s="34">
        <f>'分表2-2026上网环节线损'!C22</f>
      </c>
      <c r="E164" s="34">
        <f>'分表2-2026上网环节线损'!D22</f>
      </c>
      <c r="F164" s="34">
        <f>'分表2-2026上网环节线损'!E22</f>
      </c>
      <c r="G164" s="34">
        <f>'分表2-2026上网环节线损'!F22</f>
      </c>
      <c r="H164" s="34">
        <f>'分表2-2026上网环节线损'!G22</f>
      </c>
      <c r="I164" s="34"/>
      <c r="J164" s="34"/>
      <c r="K164" s="34"/>
      <c r="L164" s="34"/>
      <c r="M164" s="34"/>
      <c r="N164" s="34"/>
      <c r="O164" s="34"/>
      <c r="P164" s="34">
        <f>IF(SUM(D164:O164)=0,"0",AVERAGEIF(D164:O164,"&lt;&gt;0",D164:O164))</f>
      </c>
      <c r="Q164" s="38"/>
    </row>
    <row r="165">
      <c r="A165" s="34">
        <v>163</v>
      </c>
      <c r="B165" s="40" t="str">
        <v>陕西</v>
      </c>
      <c r="C165" s="39" t="str">
        <v>电度输配电价</v>
      </c>
      <c r="D165" s="34" cm="1">
        <f t="array" ref="D165:D165">_xlfn.XLOOKUP($C$1,'分表4-电度输配电价'!$C162：'分表4-电度输配电价'!$C169&amp;'分表4-电度输配电价'!$D162：'分表4-电度输配电价'!$D169,'分表4-电度输配电价'!$E162：'分表4-电度输配电价'!$E169)</f>
      </c>
      <c r="E165" s="34" cm="1">
        <f t="array" ref="E165:E165">_xlfn.XLOOKUP($C$1,'分表4-电度输配电价'!$C162：'分表4-电度输配电价'!$C169&amp;'分表4-电度输配电价'!$D162：'分表4-电度输配电价'!$D169,'分表4-电度输配电价'!$E162：'分表4-电度输配电价'!$E169)</f>
      </c>
      <c r="F165" s="34" cm="1">
        <f t="array" ref="F165:F165">_xlfn.XLOOKUP($C$1,'分表4-电度输配电价'!$C162：'分表4-电度输配电价'!$C169&amp;'分表4-电度输配电价'!$D162：'分表4-电度输配电价'!$D169,'分表4-电度输配电价'!$E162：'分表4-电度输配电价'!$E169)</f>
      </c>
      <c r="G165" s="34" cm="1">
        <f t="array" ref="G165:G165">_xlfn.XLOOKUP($C$1,'分表4-电度输配电价'!$C162：'分表4-电度输配电价'!$C169&amp;'分表4-电度输配电价'!$D162：'分表4-电度输配电价'!$D169,'分表4-电度输配电价'!$E162：'分表4-电度输配电价'!$E169)</f>
      </c>
      <c r="H165" s="34" cm="1">
        <f t="array" ref="H165:H165">_xlfn.XLOOKUP($C$1,'分表4-电度输配电价'!$C162：'分表4-电度输配电价'!$C169&amp;'分表4-电度输配电价'!$D162：'分表4-电度输配电价'!$D169,'分表4-电度输配电价'!$E162：'分表4-电度输配电价'!$E169)</f>
      </c>
      <c r="I165" s="34"/>
      <c r="J165" s="34"/>
      <c r="K165" s="34"/>
      <c r="L165" s="34"/>
      <c r="M165" s="34"/>
      <c r="N165" s="34"/>
      <c r="O165" s="34"/>
      <c r="P165" s="34">
        <f>IF(SUM(D165:O165)=0,"0",AVERAGEIF(D165:O165,"&lt;&gt;0",D165:O165))</f>
      </c>
      <c r="Q165" s="38"/>
    </row>
    <row r="166">
      <c r="A166" s="34">
        <v>164</v>
      </c>
      <c r="B166" s="40" t="str">
        <v>陕西</v>
      </c>
      <c r="C166" s="39" t="str">
        <v>政府性基金及附加</v>
      </c>
      <c r="D166" s="34" cm="1">
        <f t="array" ref="D166:D166">_xlfn.XLOOKUP($B$166,'分表5-政府性基金及附加'!$B$2：'分表5-政府性基金及附加'!$B$199,'分表5-政府性基金及附加'!$D$2：'分表5-政府性基金及附加'!$D$199)</f>
      </c>
      <c r="E166" s="34" cm="1">
        <f t="array" ref="E166:E166">_xlfn.XLOOKUP($B$166,'分表5-政府性基金及附加'!$B$2：'分表5-政府性基金及附加'!$B$199,'分表5-政府性基金及附加'!$D$2：'分表5-政府性基金及附加'!$D$199)</f>
      </c>
      <c r="F166" s="34" cm="1">
        <f t="array" ref="F166:F166">_xlfn.XLOOKUP($B$166,'分表5-政府性基金及附加'!$B$2：'分表5-政府性基金及附加'!$B$199,'分表5-政府性基金及附加'!$D$2：'分表5-政府性基金及附加'!$D$199)</f>
      </c>
      <c r="G166" s="34" cm="1">
        <f t="array" ref="G166:G166">_xlfn.XLOOKUP($B$166,'分表5-政府性基金及附加'!$B$2：'分表5-政府性基金及附加'!$B$199,'分表5-政府性基金及附加'!$D$2：'分表5-政府性基金及附加'!$D$199)</f>
      </c>
      <c r="H166" s="34" cm="1">
        <f t="array" ref="H166:H166">_xlfn.XLOOKUP($B$166,'分表5-政府性基金及附加'!$B$2：'分表5-政府性基金及附加'!$B$199,'分表5-政府性基金及附加'!$D$2：'分表5-政府性基金及附加'!$D$199)</f>
      </c>
      <c r="I166" s="34"/>
      <c r="J166" s="34"/>
      <c r="K166" s="34"/>
      <c r="L166" s="34"/>
      <c r="M166" s="34"/>
      <c r="N166" s="34"/>
      <c r="O166" s="34"/>
      <c r="P166" s="34">
        <f>IF(SUM(D166:O166)=0,"0",AVERAGEIF(D166:O166,"&lt;&gt;0",D166:O166))</f>
      </c>
      <c r="Q166" s="38"/>
    </row>
    <row r="167">
      <c r="A167" s="34">
        <v>165</v>
      </c>
      <c r="B167" s="40" t="str">
        <v>陕西</v>
      </c>
      <c r="C167" s="39" t="str">
        <v>系统运行费折价</v>
      </c>
      <c r="D167" s="34">
        <f>'分表3-2026系统运行费'!JD2</f>
      </c>
      <c r="E167" s="34">
        <f>'分表3-2026系统运行费'!JE2</f>
      </c>
      <c r="F167" s="34">
        <f>'分表3-2026系统运行费'!JF2</f>
      </c>
      <c r="G167" s="34">
        <f>'分表3-2026系统运行费'!JG2</f>
      </c>
      <c r="H167" s="34">
        <f>'分表3-2026系统运行费'!JH2</f>
      </c>
      <c r="I167" s="34"/>
      <c r="J167" s="34"/>
      <c r="K167" s="34"/>
      <c r="L167" s="34"/>
      <c r="M167" s="34"/>
      <c r="N167" s="34"/>
      <c r="O167" s="34"/>
      <c r="P167" s="34">
        <f>IF(SUM(D167:O167)=0,"0",AVERAGEIF(D167:O167,"&lt;&gt;0",D167:O167))</f>
      </c>
      <c r="Q167" s="38"/>
    </row>
    <row r="168">
      <c r="A168" s="34">
        <v>166</v>
      </c>
      <c r="B168" s="40" t="str">
        <v>陕西</v>
      </c>
      <c r="C168" s="39" t="str">
        <v>综合平段电价--电网代购</v>
      </c>
      <c r="D168" s="34">
        <f>IF(D165="/","/",SUM(D163:D167))</f>
      </c>
      <c r="E168" s="34">
        <f>IF(E165="/","/",SUM(E163:E167))</f>
      </c>
      <c r="F168" s="34">
        <f>IF(F165="/","/",SUM(F163:F167))</f>
      </c>
      <c r="G168" s="34">
        <f>IF(G165="/","/",SUM(G163:G167))</f>
      </c>
      <c r="H168" s="34">
        <f>IF(H165="/","/",SUM(H163:H167))</f>
      </c>
      <c r="I168" s="34"/>
      <c r="J168" s="34"/>
      <c r="K168" s="34"/>
      <c r="L168" s="34"/>
      <c r="M168" s="34"/>
      <c r="N168" s="34"/>
      <c r="O168" s="34"/>
      <c r="P168" s="34">
        <f>IF(SUM(D168:O168)=0,"0",AVERAGEIF(D168:O168,"&lt;&gt;0",D168:O168))</f>
      </c>
      <c r="Q168" s="38"/>
    </row>
    <row r="169">
      <c r="A169" s="34">
        <v>167</v>
      </c>
      <c r="B169" s="40" t="str">
        <v>陕西</v>
      </c>
      <c r="C169" s="39" t="str">
        <v>入市交易购电价格</v>
      </c>
      <c r="D169" s="34">
        <f>'分表7-2026交易价格'!D22</f>
      </c>
      <c r="E169" s="34">
        <f>'分表7-2026交易价格'!E22</f>
      </c>
      <c r="F169" s="34">
        <f>'分表7-2026交易价格'!F22</f>
      </c>
      <c r="G169" s="34">
        <f>'分表7-2026交易价格'!G22</f>
      </c>
      <c r="H169" s="34">
        <f>'分表7-2026交易价格'!H22</f>
      </c>
      <c r="I169" s="34"/>
      <c r="J169" s="34"/>
      <c r="K169" s="34"/>
      <c r="L169" s="34"/>
      <c r="M169" s="34"/>
      <c r="N169" s="34"/>
      <c r="O169" s="34"/>
      <c r="P169" s="34">
        <f>IF(SUM(D169:O169)=0,"0",AVERAGEIF(D169:O169,"&lt;&gt;0",D169:O169))</f>
      </c>
      <c r="Q169" s="38"/>
    </row>
    <row customHeight="true" ht="19" r="170">
      <c r="A170" s="34">
        <v>168</v>
      </c>
      <c r="B170" s="40" t="str">
        <v>陕西</v>
      </c>
      <c r="C170" s="39" t="str">
        <v>综合平段电价--入市交易</v>
      </c>
      <c r="D170" s="34">
        <f>IF(D165="/","/",IF(D169&gt;0,D169+SUM(D164:D167),"/"))</f>
      </c>
      <c r="E170" s="34">
        <f>IF(E165="/","/",IF(E169&gt;0,E169+SUM(E164:E167),"/"))</f>
      </c>
      <c r="F170" s="34">
        <f>IF(F165="/","/",IF(F169&gt;0,F169+SUM(F164:F167),"/"))</f>
      </c>
      <c r="G170" s="34">
        <f>IF(G165="/","/",IF(G169&gt;0,G169+SUM(G164:G167),"/"))</f>
      </c>
      <c r="H170" s="34">
        <f>IF(H165="/","/",IF(H169&gt;0,H169+SUM(H164:H167),"/"))</f>
      </c>
      <c r="I170" s="34"/>
      <c r="J170" s="34"/>
      <c r="K170" s="34"/>
      <c r="L170" s="34"/>
      <c r="M170" s="34"/>
      <c r="N170" s="34"/>
      <c r="O170" s="34"/>
      <c r="P170" s="34">
        <f>IF(SUM(D170:O170)=0,"0",AVERAGEIF(D170:O170,"&lt;&gt;0",D170:O170))</f>
      </c>
      <c r="Q170" s="38"/>
    </row>
    <row r="171">
      <c r="A171" s="34">
        <v>169</v>
      </c>
      <c r="B171" s="31" t="str">
        <v>甘肃</v>
      </c>
      <c r="C171" s="37" t="str">
        <v>代理购电价格</v>
      </c>
      <c r="D171" s="41">
        <v>0.334887</v>
      </c>
      <c r="E171" s="41">
        <v>0.342979</v>
      </c>
      <c r="F171" s="41">
        <v>0.292959</v>
      </c>
      <c r="G171" s="41">
        <v>0.224025</v>
      </c>
      <c r="H171" s="41">
        <v>0.176717</v>
      </c>
      <c r="I171" s="36"/>
      <c r="J171" s="36"/>
      <c r="K171" s="36"/>
      <c r="L171" s="36"/>
      <c r="M171" s="36"/>
      <c r="N171" s="36"/>
      <c r="O171" s="36"/>
      <c r="P171" s="36">
        <f>IF(SUM(D171:O171)=0,"0",AVERAGEIF(D171:O171,"&lt;&gt;0",D171:O171))</f>
      </c>
      <c r="Q171" s="35"/>
    </row>
    <row r="172">
      <c r="A172" s="34">
        <v>170</v>
      </c>
      <c r="B172" s="31" t="str">
        <v>甘肃</v>
      </c>
      <c r="C172" s="37" t="str">
        <v>上网环节线损电价</v>
      </c>
      <c r="D172" s="42">
        <v>0.007919</v>
      </c>
      <c r="E172" s="42">
        <v>0.00811</v>
      </c>
      <c r="F172" s="42">
        <v>0.006927</v>
      </c>
      <c r="G172" s="42">
        <v>0.005297</v>
      </c>
      <c r="H172" s="42">
        <v>0.004179</v>
      </c>
      <c r="I172" s="32"/>
      <c r="J172" s="33"/>
      <c r="K172" s="32"/>
      <c r="L172" s="32"/>
      <c r="M172" s="32"/>
      <c r="N172" s="32"/>
      <c r="O172" s="32"/>
      <c r="P172" s="36">
        <f>IF(SUM(D172:O172)=0,"0",AVERAGEIF(D172:O172,"&lt;&gt;0",D172:O172))</f>
      </c>
      <c r="Q172" s="35"/>
    </row>
    <row r="173">
      <c r="A173" s="34">
        <v>171</v>
      </c>
      <c r="B173" s="31" t="str">
        <v>甘肃</v>
      </c>
      <c r="C173" s="37" t="str">
        <v>电度输配电价</v>
      </c>
      <c r="D173" s="36" cm="1">
        <f t="array" ref="D173:D173">_xlfn.XLOOKUP($C$1,'分表4-电度输配电价'!$C170：'分表4-电度输配电价'!$C177&amp;'分表4-电度输配电价'!$D170：'分表4-电度输配电价'!$D177,'分表4-电度输配电价'!$E170：'分表4-电度输配电价'!$E177)</f>
      </c>
      <c r="E173" s="36" cm="1">
        <f t="array" ref="E173:E173">_xlfn.XLOOKUP($C$1,'分表4-电度输配电价'!$C170：'分表4-电度输配电价'!$C177&amp;'分表4-电度输配电价'!$D170：'分表4-电度输配电价'!$D177,'分表4-电度输配电价'!$E170：'分表4-电度输配电价'!$E177)</f>
      </c>
      <c r="F173" s="36" cm="1">
        <f t="array" ref="F173:F173">_xlfn.XLOOKUP($C$1,'分表4-电度输配电价'!$C170：'分表4-电度输配电价'!$C177&amp;'分表4-电度输配电价'!$D170：'分表4-电度输配电价'!$D177,'分表4-电度输配电价'!$E170：'分表4-电度输配电价'!$E177)</f>
      </c>
      <c r="G173" s="36" cm="1">
        <f t="array" ref="G173:G173">_xlfn.XLOOKUP($C$1,'分表4-电度输配电价'!$C170：'分表4-电度输配电价'!$C177&amp;'分表4-电度输配电价'!$D170：'分表4-电度输配电价'!$D177,'分表4-电度输配电价'!$E170：'分表4-电度输配电价'!$E177)</f>
      </c>
      <c r="H173" s="36" cm="1">
        <f t="array" ref="H173:H173">_xlfn.XLOOKUP($C$1,'分表4-电度输配电价'!$C170：'分表4-电度输配电价'!$C177&amp;'分表4-电度输配电价'!$D170：'分表4-电度输配电价'!$D177,'分表4-电度输配电价'!$E170：'分表4-电度输配电价'!$E177)</f>
      </c>
      <c r="I173" s="32"/>
      <c r="J173" s="33"/>
      <c r="K173" s="32"/>
      <c r="L173" s="32"/>
      <c r="M173" s="32"/>
      <c r="N173" s="32"/>
      <c r="O173" s="32"/>
      <c r="P173" s="36">
        <f>IF(SUM(D173:O173)=0,"0",AVERAGEIF(D173:O173,"&lt;&gt;0",D173:O173))</f>
      </c>
      <c r="Q173" s="35"/>
    </row>
    <row r="174">
      <c r="A174" s="34">
        <v>172</v>
      </c>
      <c r="B174" s="31" t="str">
        <v>甘肃</v>
      </c>
      <c r="C174" s="37" t="str">
        <v>政府性基金及附加</v>
      </c>
      <c r="D174" s="36" cm="1">
        <f t="array" ref="D174:D174">_xlfn.XLOOKUP($B$174,'分表5-政府性基金及附加'!$B$2：'分表5-政府性基金及附加'!$B$199,'分表5-政府性基金及附加'!$D$2：'分表5-政府性基金及附加'!$D$199)</f>
      </c>
      <c r="E174" s="36" cm="1">
        <f t="array" ref="E174:E174">_xlfn.XLOOKUP($B$174,'分表5-政府性基金及附加'!$B$2：'分表5-政府性基金及附加'!$B$199,'分表5-政府性基金及附加'!$D$2：'分表5-政府性基金及附加'!$D$199)</f>
      </c>
      <c r="F174" s="36" cm="1">
        <f t="array" ref="F174:F174">_xlfn.XLOOKUP($B$174,'分表5-政府性基金及附加'!$B$2：'分表5-政府性基金及附加'!$B$199,'分表5-政府性基金及附加'!$D$2：'分表5-政府性基金及附加'!$D$199)</f>
      </c>
      <c r="G174" s="36" cm="1">
        <f t="array" ref="G174:G174">_xlfn.XLOOKUP($B$174,'分表5-政府性基金及附加'!$B$2：'分表5-政府性基金及附加'!$B$199,'分表5-政府性基金及附加'!$D$2：'分表5-政府性基金及附加'!$D$199)</f>
      </c>
      <c r="H174" s="36" cm="1">
        <f t="array" ref="H174:H174">_xlfn.XLOOKUP($B$174,'分表5-政府性基金及附加'!$B$2：'分表5-政府性基金及附加'!$B$199,'分表5-政府性基金及附加'!$D$2：'分表5-政府性基金及附加'!$D$199)</f>
      </c>
      <c r="I174" s="32"/>
      <c r="J174" s="33"/>
      <c r="K174" s="32"/>
      <c r="L174" s="32"/>
      <c r="M174" s="32"/>
      <c r="N174" s="32"/>
      <c r="O174" s="32"/>
      <c r="P174" s="36">
        <f>IF(SUM(D174:O174)=0,"0",AVERAGEIF(D174:O174,"&lt;&gt;0",D174:O174))</f>
      </c>
      <c r="Q174" s="35"/>
    </row>
    <row r="175">
      <c r="A175" s="34">
        <v>173</v>
      </c>
      <c r="B175" s="31" t="str">
        <v>甘肃</v>
      </c>
      <c r="C175" s="37" t="str">
        <v>系统运行费折价</v>
      </c>
      <c r="D175" s="32">
        <f>'分表3-2026系统运行费'!JQ2</f>
      </c>
      <c r="E175" s="32">
        <f>'分表3-2026系统运行费'!JR2</f>
      </c>
      <c r="F175" s="32">
        <f>'分表3-2026系统运行费'!JS2</f>
      </c>
      <c r="G175" s="32">
        <f>'分表3-2026系统运行费'!JT2</f>
      </c>
      <c r="H175" s="32">
        <f>'分表3-2026系统运行费'!JU2</f>
      </c>
      <c r="I175" s="32"/>
      <c r="J175" s="33"/>
      <c r="K175" s="32"/>
      <c r="L175" s="32"/>
      <c r="M175" s="32"/>
      <c r="N175" s="32"/>
      <c r="O175" s="32"/>
      <c r="P175" s="36">
        <f>IF(SUM(D175:O175)=0,"0",AVERAGEIF(D175:O175,"&lt;&gt;0",D175:O175))</f>
      </c>
      <c r="Q175" s="35"/>
    </row>
    <row customHeight="true" ht="19" r="176">
      <c r="A176" s="34">
        <v>174</v>
      </c>
      <c r="B176" s="31" t="str">
        <v>甘肃</v>
      </c>
      <c r="C176" s="37" t="str">
        <v>综合平段电价--电网代购</v>
      </c>
      <c r="D176" s="36">
        <f>IF(D173="/","/",SUM(D171:D175))</f>
      </c>
      <c r="E176" s="36">
        <f>IF(E173="/","/",SUM(E171:E175))</f>
      </c>
      <c r="F176" s="36">
        <f>IF(F173="/","/",SUM(F171:F175))</f>
      </c>
      <c r="G176" s="36">
        <f>IF(G173="/","/",SUM(G171:G175))</f>
      </c>
      <c r="H176" s="36">
        <f>IF(H173="/","/",SUM(H171:H175))</f>
      </c>
      <c r="I176" s="32"/>
      <c r="J176" s="33"/>
      <c r="K176" s="32"/>
      <c r="L176" s="32"/>
      <c r="M176" s="32"/>
      <c r="N176" s="32"/>
      <c r="O176" s="32"/>
      <c r="P176" s="36">
        <f>IF(SUM(D176:O176)=0,"0",AVERAGEIF(D176:O176,"&lt;&gt;0",D176:O176))</f>
      </c>
      <c r="Q176" s="35"/>
    </row>
    <row r="177">
      <c r="A177" s="34">
        <v>175</v>
      </c>
      <c r="B177" s="31" t="str">
        <v>甘肃</v>
      </c>
      <c r="C177" s="37" t="str">
        <v>入市交易购电价格</v>
      </c>
      <c r="D177" s="32">
        <f>'分表7-2026交易价格'!D23</f>
      </c>
      <c r="E177" s="32">
        <f>'分表7-2026交易价格'!E23</f>
      </c>
      <c r="F177" s="32">
        <f>'分表7-2026交易价格'!F23</f>
      </c>
      <c r="G177" s="32">
        <f>'分表7-2026交易价格'!G23</f>
      </c>
      <c r="H177" s="32">
        <f>'分表7-2026交易价格'!H23</f>
      </c>
      <c r="I177" s="32"/>
      <c r="J177" s="33"/>
      <c r="K177" s="32"/>
      <c r="L177" s="32"/>
      <c r="M177" s="32"/>
      <c r="N177" s="32"/>
      <c r="O177" s="32"/>
      <c r="P177" s="36">
        <f>IF(SUM(D177:O177)=0,"0",AVERAGEIF(D177:O177,"&lt;&gt;0",D177:O177))</f>
      </c>
      <c r="Q177" s="35"/>
    </row>
    <row r="178">
      <c r="A178" s="34">
        <v>176</v>
      </c>
      <c r="B178" s="31" t="str">
        <v>甘肃</v>
      </c>
      <c r="C178" s="37" t="str">
        <v>综合平段电价--入市交易</v>
      </c>
      <c r="D178" s="36">
        <f>IF(D173="/","/",IF(D177&gt;0,D177+SUM(D172:D175),"/"))</f>
      </c>
      <c r="E178" s="36">
        <f>IF(E173="/","/",IF(E177&gt;0,E177+SUM(E172:E175),"/"))</f>
      </c>
      <c r="F178" s="36">
        <f>IF(F173="/","/",IF(F177&gt;0,F177+SUM(F172:F175),"/"))</f>
      </c>
      <c r="G178" s="36">
        <f>IF(G173="/","/",IF(G177&gt;0,G177+SUM(G172:G175),"/"))</f>
      </c>
      <c r="H178" s="36">
        <f>IF(H173="/","/",IF(H177&gt;0,H177+SUM(H172:H175),"/"))</f>
      </c>
      <c r="I178" s="32"/>
      <c r="J178" s="33"/>
      <c r="K178" s="32"/>
      <c r="L178" s="32"/>
      <c r="M178" s="32"/>
      <c r="N178" s="32"/>
      <c r="O178" s="32"/>
      <c r="P178" s="36">
        <f>IF(SUM(D178:O178)=0,"0",AVERAGEIF(D178:O178,"&lt;&gt;0",D178:O178))</f>
      </c>
      <c r="Q178" s="35"/>
    </row>
    <row r="179">
      <c r="A179" s="34">
        <v>177</v>
      </c>
      <c r="B179" s="40" t="str">
        <v>青海</v>
      </c>
      <c r="C179" s="39" t="str">
        <v>代理购电价格</v>
      </c>
      <c r="D179" s="34">
        <f>'分表1-2026电网代购价'!D71</f>
      </c>
      <c r="E179" s="34">
        <f>'分表1-2026电网代购价'!E71</f>
      </c>
      <c r="F179" s="34">
        <f>'分表1-2026电网代购价'!F71</f>
      </c>
      <c r="G179" s="34">
        <f>'分表1-2026电网代购价'!G71</f>
      </c>
      <c r="H179" s="34">
        <f>'分表1-2026电网代购价'!H71</f>
      </c>
      <c r="I179" s="34"/>
      <c r="J179" s="34"/>
      <c r="K179" s="34"/>
      <c r="L179" s="34"/>
      <c r="M179" s="34"/>
      <c r="N179" s="34"/>
      <c r="O179" s="34"/>
      <c r="P179" s="34">
        <f>IF(SUM(D179:O179)=0,"0",AVERAGEIF(D179:O179,"&lt;&gt;0",D179:O179))</f>
      </c>
      <c r="Q179" s="38"/>
    </row>
    <row r="180">
      <c r="A180" s="34">
        <v>178</v>
      </c>
      <c r="B180" s="40" t="str">
        <v>青海</v>
      </c>
      <c r="C180" s="39" t="str">
        <v>上网环节线损电价</v>
      </c>
      <c r="D180" s="34">
        <f>'分表2-2026上网环节线损'!C24</f>
      </c>
      <c r="E180" s="34">
        <f>'分表2-2026上网环节线损'!D24</f>
      </c>
      <c r="F180" s="34">
        <f>'分表2-2026上网环节线损'!E24</f>
      </c>
      <c r="G180" s="34">
        <f>'分表2-2026上网环节线损'!F24</f>
      </c>
      <c r="H180" s="34">
        <f>'分表2-2026上网环节线损'!G24</f>
      </c>
      <c r="I180" s="34"/>
      <c r="J180" s="34"/>
      <c r="K180" s="34"/>
      <c r="L180" s="34"/>
      <c r="M180" s="34"/>
      <c r="N180" s="34"/>
      <c r="O180" s="34"/>
      <c r="P180" s="34">
        <f>IF(SUM(D180:O180)=0,"0",AVERAGEIF(D180:O180,"&lt;&gt;0",D180:O180))</f>
      </c>
      <c r="Q180" s="38"/>
    </row>
    <row r="181">
      <c r="A181" s="34">
        <v>179</v>
      </c>
      <c r="B181" s="40" t="str">
        <v>青海</v>
      </c>
      <c r="C181" s="39" t="str">
        <v>电度输配电价</v>
      </c>
      <c r="D181" s="34" cm="1">
        <f t="array" ref="D181:D181">_xlfn.XLOOKUP($C$1,'分表4-电度输配电价'!$C178：'分表4-电度输配电价'!$C185&amp;'分表4-电度输配电价'!$D178：'分表4-电度输配电价'!$D185,'分表4-电度输配电价'!$E178：'分表4-电度输配电价'!$E185)</f>
      </c>
      <c r="E181" s="34" cm="1">
        <f t="array" ref="E181:E181">_xlfn.XLOOKUP($C$1,'分表4-电度输配电价'!$C178：'分表4-电度输配电价'!$C185&amp;'分表4-电度输配电价'!$D178：'分表4-电度输配电价'!$D185,'分表4-电度输配电价'!$E178：'分表4-电度输配电价'!$E185)</f>
      </c>
      <c r="F181" s="34" cm="1">
        <f t="array" ref="F181:F181">_xlfn.XLOOKUP($C$1,'分表4-电度输配电价'!$C178：'分表4-电度输配电价'!$C185&amp;'分表4-电度输配电价'!$D178：'分表4-电度输配电价'!$D185,'分表4-电度输配电价'!$E178：'分表4-电度输配电价'!$E185)</f>
      </c>
      <c r="G181" s="34" cm="1">
        <f t="array" ref="G181:G181">_xlfn.XLOOKUP($C$1,'分表4-电度输配电价'!$C178：'分表4-电度输配电价'!$C185&amp;'分表4-电度输配电价'!$D178：'分表4-电度输配电价'!$D185,'分表4-电度输配电价'!$E178：'分表4-电度输配电价'!$E185)</f>
      </c>
      <c r="H181" s="34" cm="1">
        <f t="array" ref="H181:H181">_xlfn.XLOOKUP($C$1,'分表4-电度输配电价'!$C178：'分表4-电度输配电价'!$C185&amp;'分表4-电度输配电价'!$D178：'分表4-电度输配电价'!$D185,'分表4-电度输配电价'!$E178：'分表4-电度输配电价'!$E185)</f>
      </c>
      <c r="I181" s="34"/>
      <c r="J181" s="34"/>
      <c r="K181" s="34"/>
      <c r="L181" s="34"/>
      <c r="M181" s="34"/>
      <c r="N181" s="34"/>
      <c r="O181" s="34"/>
      <c r="P181" s="34">
        <f>IF(SUM(D181:O181)=0,"0",AVERAGEIF(D181:O181,"&lt;&gt;0",D181:O181))</f>
      </c>
      <c r="Q181" s="38"/>
    </row>
    <row customHeight="true" ht="19" r="182">
      <c r="A182" s="34">
        <v>180</v>
      </c>
      <c r="B182" s="40" t="str">
        <v>青海</v>
      </c>
      <c r="C182" s="39" t="str">
        <v>政府性基金及附加</v>
      </c>
      <c r="D182" s="34" cm="1">
        <f t="array" ref="D182:D182">_xlfn.XLOOKUP($B$182,'分表5-政府性基金及附加'!$B$2：'分表5-政府性基金及附加'!$B$199,'分表5-政府性基金及附加'!$D$2：'分表5-政府性基金及附加'!$D$199)</f>
      </c>
      <c r="E182" s="34" cm="1">
        <f t="array" ref="E182:E182">_xlfn.XLOOKUP($B$182,'分表5-政府性基金及附加'!$B$2：'分表5-政府性基金及附加'!$B$199,'分表5-政府性基金及附加'!$D$2：'分表5-政府性基金及附加'!$D$199)</f>
      </c>
      <c r="F182" s="34" cm="1">
        <f t="array" ref="F182:F182">_xlfn.XLOOKUP($B$182,'分表5-政府性基金及附加'!$B$2：'分表5-政府性基金及附加'!$B$199,'分表5-政府性基金及附加'!$D$2：'分表5-政府性基金及附加'!$D$199)</f>
      </c>
      <c r="G182" s="34" cm="1">
        <f t="array" ref="G182:G182">_xlfn.XLOOKUP($B$182,'分表5-政府性基金及附加'!$B$2：'分表5-政府性基金及附加'!$B$199,'分表5-政府性基金及附加'!$D$2：'分表5-政府性基金及附加'!$D$199)</f>
      </c>
      <c r="H182" s="34" cm="1">
        <f t="array" ref="H182:H182">_xlfn.XLOOKUP($B$182,'分表5-政府性基金及附加'!$B$2：'分表5-政府性基金及附加'!$B$199,'分表5-政府性基金及附加'!$D$2：'分表5-政府性基金及附加'!$D$199)</f>
      </c>
      <c r="I182" s="34"/>
      <c r="J182" s="34"/>
      <c r="K182" s="34"/>
      <c r="L182" s="34"/>
      <c r="M182" s="34"/>
      <c r="N182" s="34"/>
      <c r="O182" s="34"/>
      <c r="P182" s="34">
        <f>IF(SUM(D182:O182)=0,"0",AVERAGEIF(D182:O182,"&lt;&gt;0",D182:O182))</f>
      </c>
      <c r="Q182" s="38"/>
    </row>
    <row r="183">
      <c r="A183" s="34">
        <v>181</v>
      </c>
      <c r="B183" s="40" t="str">
        <v>青海</v>
      </c>
      <c r="C183" s="39" t="str">
        <v>系统运行费折价</v>
      </c>
      <c r="D183" s="34">
        <f>'分表3-2026系统运行费'!KD2</f>
      </c>
      <c r="E183" s="34">
        <f>'分表3-2026系统运行费'!KE2</f>
      </c>
      <c r="F183" s="34">
        <f>'分表3-2026系统运行费'!KF2</f>
      </c>
      <c r="G183" s="34">
        <f>'分表3-2026系统运行费'!KG2</f>
      </c>
      <c r="H183" s="34">
        <f>'分表3-2026系统运行费'!KH2</f>
      </c>
      <c r="I183" s="34"/>
      <c r="J183" s="34"/>
      <c r="K183" s="34"/>
      <c r="L183" s="34"/>
      <c r="M183" s="34"/>
      <c r="N183" s="34"/>
      <c r="O183" s="34"/>
      <c r="P183" s="34">
        <f>IF(SUM(D183:O183)=0,"0",AVERAGEIF(D183:O183,"&lt;&gt;0",D183:O183))</f>
      </c>
      <c r="Q183" s="38"/>
    </row>
    <row r="184">
      <c r="A184" s="34">
        <v>182</v>
      </c>
      <c r="B184" s="40" t="str">
        <v>青海</v>
      </c>
      <c r="C184" s="39" t="str">
        <v>综合平段电价--电网代购</v>
      </c>
      <c r="D184" s="34">
        <f>IF(D181="/","/",SUM(D179:D183))</f>
      </c>
      <c r="E184" s="34">
        <f>IF(E181="/","/",SUM(E179:E183))</f>
      </c>
      <c r="F184" s="34">
        <f>IF(F181="/","/",SUM(F179:F183))</f>
      </c>
      <c r="G184" s="34">
        <f>IF(G181="/","/",SUM(G179:G183))</f>
      </c>
      <c r="H184" s="34">
        <f>IF(H181="/","/",SUM(H179:H183))</f>
      </c>
      <c r="I184" s="34"/>
      <c r="J184" s="34"/>
      <c r="K184" s="34"/>
      <c r="L184" s="34"/>
      <c r="M184" s="34"/>
      <c r="N184" s="34"/>
      <c r="O184" s="34"/>
      <c r="P184" s="34">
        <f>IF(SUM(D184:O184)=0,"0",AVERAGEIF(D184:O184,"&lt;&gt;0",D184:O184))</f>
      </c>
      <c r="Q184" s="38"/>
    </row>
    <row r="185">
      <c r="A185" s="34">
        <v>183</v>
      </c>
      <c r="B185" s="40" t="str">
        <v>青海</v>
      </c>
      <c r="C185" s="39" t="str">
        <v>入市交易购电价格</v>
      </c>
      <c r="D185" s="34">
        <f>'分表7-2026交易价格'!D24</f>
      </c>
      <c r="E185" s="34">
        <f>'分表7-2026交易价格'!E24</f>
      </c>
      <c r="F185" s="34">
        <f>'分表7-2026交易价格'!F24</f>
      </c>
      <c r="G185" s="34">
        <f>'分表7-2026交易价格'!G24</f>
      </c>
      <c r="H185" s="34">
        <f>'分表7-2026交易价格'!H24</f>
      </c>
      <c r="I185" s="34"/>
      <c r="J185" s="34"/>
      <c r="K185" s="34"/>
      <c r="L185" s="34"/>
      <c r="M185" s="34"/>
      <c r="N185" s="34"/>
      <c r="O185" s="34"/>
      <c r="P185" s="34">
        <f>IF(SUM(D185:O185)=0,"0",AVERAGEIF(D185:O185,"&lt;&gt;0",D185:O185))</f>
      </c>
      <c r="Q185" s="38"/>
    </row>
    <row r="186">
      <c r="A186" s="34">
        <v>184</v>
      </c>
      <c r="B186" s="40" t="str">
        <v>青海</v>
      </c>
      <c r="C186" s="39" t="str">
        <v>综合平段电价--入市交易</v>
      </c>
      <c r="D186" s="34">
        <f>IF(D181="/","/",IF(D185&gt;0,D185+SUM(D180:D183),"/"))</f>
      </c>
      <c r="E186" s="34">
        <f>IF(E181="/","/",IF(E185&gt;0,E185+SUM(E180:E183),"/"))</f>
      </c>
      <c r="F186" s="34">
        <f>IF(F181="/","/",IF(F185&gt;0,F185+SUM(F180:F183),"/"))</f>
      </c>
      <c r="G186" s="34">
        <f>IF(G181="/","/",IF(G185&gt;0,G185+SUM(G180:G183),"/"))</f>
      </c>
      <c r="H186" s="34">
        <f>IF(H181="/","/",IF(H185&gt;0,H185+SUM(H180:H183),"/"))</f>
      </c>
      <c r="I186" s="34"/>
      <c r="J186" s="34"/>
      <c r="K186" s="34"/>
      <c r="L186" s="34"/>
      <c r="M186" s="34"/>
      <c r="N186" s="34"/>
      <c r="O186" s="34"/>
      <c r="P186" s="34">
        <f>IF(SUM(D186:O186)=0,"0",AVERAGEIF(D186:O186,"&lt;&gt;0",D186:O186))</f>
      </c>
      <c r="Q186" s="38"/>
    </row>
    <row r="187">
      <c r="A187" s="34">
        <v>185</v>
      </c>
      <c r="B187" s="31" t="str">
        <v>宁夏</v>
      </c>
      <c r="C187" s="37" t="str">
        <v>代理购电价格</v>
      </c>
      <c r="D187" s="41">
        <v>0.3108</v>
      </c>
      <c r="E187" s="41">
        <v>0.3177</v>
      </c>
      <c r="F187" s="41">
        <v>0.324</v>
      </c>
      <c r="G187" s="41">
        <v>0.2906</v>
      </c>
      <c r="H187" s="41">
        <v>0.2968</v>
      </c>
      <c r="I187" s="36"/>
      <c r="J187" s="36"/>
      <c r="K187" s="36"/>
      <c r="L187" s="36"/>
      <c r="M187" s="36"/>
      <c r="N187" s="36"/>
      <c r="O187" s="36"/>
      <c r="P187" s="36">
        <f>IF(SUM(D187:O187)=0,"0",AVERAGEIF(D187:O187,"&lt;&gt;0",D187:O187))</f>
      </c>
      <c r="Q187" s="35"/>
    </row>
    <row r="188">
      <c r="A188" s="34">
        <v>186</v>
      </c>
      <c r="B188" s="31" t="str">
        <v>宁夏</v>
      </c>
      <c r="C188" s="37" t="str">
        <v>上网环节线损电价</v>
      </c>
      <c r="D188" s="32">
        <f>'分表2-2026上网环节线损'!C25</f>
      </c>
      <c r="E188" s="32">
        <f>'分表2-2026上网环节线损'!D25</f>
      </c>
      <c r="F188" s="32">
        <f>'分表2-2026上网环节线损'!E25</f>
      </c>
      <c r="G188" s="32">
        <f>'分表2-2026上网环节线损'!F25</f>
      </c>
      <c r="H188" s="32">
        <f>'分表2-2026上网环节线损'!G25</f>
      </c>
      <c r="I188" s="32"/>
      <c r="J188" s="33"/>
      <c r="K188" s="32"/>
      <c r="L188" s="32"/>
      <c r="M188" s="32"/>
      <c r="N188" s="32"/>
      <c r="O188" s="32"/>
      <c r="P188" s="36">
        <f>IF(SUM(D188:O188)=0,"0",AVERAGEIF(D188:O188,"&lt;&gt;0",D188:O188))</f>
      </c>
      <c r="Q188" s="35"/>
    </row>
    <row r="189">
      <c r="A189" s="34">
        <v>187</v>
      </c>
      <c r="B189" s="31" t="str">
        <v>宁夏</v>
      </c>
      <c r="C189" s="37" t="str">
        <v>电度输配电价</v>
      </c>
      <c r="D189" s="36" cm="1">
        <f t="array" ref="D189:D189">_xlfn.XLOOKUP($C$1,'分表4-电度输配电价'!$C186：'分表4-电度输配电价'!$C193&amp;'分表4-电度输配电价'!$D186：'分表4-电度输配电价'!$D193,'分表4-电度输配电价'!$E186：'分表4-电度输配电价'!$E193)</f>
      </c>
      <c r="E189" s="36" cm="1">
        <f t="array" ref="E189:E189">_xlfn.XLOOKUP($C$1,'分表4-电度输配电价'!$C186：'分表4-电度输配电价'!$C193&amp;'分表4-电度输配电价'!$D186：'分表4-电度输配电价'!$D193,'分表4-电度输配电价'!$E186：'分表4-电度输配电价'!$E193)</f>
      </c>
      <c r="F189" s="36" cm="1">
        <f t="array" ref="F189:F189">_xlfn.XLOOKUP($C$1,'分表4-电度输配电价'!$C186：'分表4-电度输配电价'!$C193&amp;'分表4-电度输配电价'!$D186：'分表4-电度输配电价'!$D193,'分表4-电度输配电价'!$E186：'分表4-电度输配电价'!$E193)</f>
      </c>
      <c r="G189" s="36" cm="1">
        <f t="array" ref="G189:G189">_xlfn.XLOOKUP($C$1,'分表4-电度输配电价'!$C186：'分表4-电度输配电价'!$C193&amp;'分表4-电度输配电价'!$D186：'分表4-电度输配电价'!$D193,'分表4-电度输配电价'!$E186：'分表4-电度输配电价'!$E193)</f>
      </c>
      <c r="H189" s="36" cm="1">
        <f t="array" ref="H189:H189">_xlfn.XLOOKUP($C$1,'分表4-电度输配电价'!$C186：'分表4-电度输配电价'!$C193&amp;'分表4-电度输配电价'!$D186：'分表4-电度输配电价'!$D193,'分表4-电度输配电价'!$E186：'分表4-电度输配电价'!$E193)</f>
      </c>
      <c r="I189" s="32"/>
      <c r="J189" s="33"/>
      <c r="K189" s="32"/>
      <c r="L189" s="32"/>
      <c r="M189" s="32"/>
      <c r="N189" s="32"/>
      <c r="O189" s="32"/>
      <c r="P189" s="36">
        <f>IF(SUM(D189:O189)=0,"0",AVERAGEIF(D189:O189,"&lt;&gt;0",D189:O189))</f>
      </c>
      <c r="Q189" s="35"/>
    </row>
    <row r="190">
      <c r="A190" s="34">
        <v>188</v>
      </c>
      <c r="B190" s="31" t="str">
        <v>宁夏</v>
      </c>
      <c r="C190" s="37" t="str">
        <v>政府性基金及附加</v>
      </c>
      <c r="D190" s="36" cm="1">
        <f t="array" ref="D190:D190">_xlfn.XLOOKUP($B$190,'分表5-政府性基金及附加'!$B$2：'分表5-政府性基金及附加'!$B$199,'分表5-政府性基金及附加'!$D$2：'分表5-政府性基金及附加'!$D$199)</f>
      </c>
      <c r="E190" s="36" cm="1">
        <f t="array" ref="E190:E190">_xlfn.XLOOKUP($B$190,'分表5-政府性基金及附加'!$B$2：'分表5-政府性基金及附加'!$B$199,'分表5-政府性基金及附加'!$D$2：'分表5-政府性基金及附加'!$D$199)</f>
      </c>
      <c r="F190" s="36" cm="1">
        <f t="array" ref="F190:F190">_xlfn.XLOOKUP($B$190,'分表5-政府性基金及附加'!$B$2：'分表5-政府性基金及附加'!$B$199,'分表5-政府性基金及附加'!$D$2：'分表5-政府性基金及附加'!$D$199)</f>
      </c>
      <c r="G190" s="36" cm="1">
        <f t="array" ref="G190:G190">_xlfn.XLOOKUP($B$190,'分表5-政府性基金及附加'!$B$2：'分表5-政府性基金及附加'!$B$199,'分表5-政府性基金及附加'!$D$2：'分表5-政府性基金及附加'!$D$199)</f>
      </c>
      <c r="H190" s="36" cm="1">
        <f t="array" ref="H190:H190">_xlfn.XLOOKUP($B$190,'分表5-政府性基金及附加'!$B$2：'分表5-政府性基金及附加'!$B$199,'分表5-政府性基金及附加'!$D$2：'分表5-政府性基金及附加'!$D$199)</f>
      </c>
      <c r="I190" s="32"/>
      <c r="J190" s="33"/>
      <c r="K190" s="32"/>
      <c r="L190" s="32"/>
      <c r="M190" s="32"/>
      <c r="N190" s="32"/>
      <c r="O190" s="32"/>
      <c r="P190" s="36">
        <f>IF(SUM(D190:O190)=0,"0",AVERAGEIF(D190:O190,"&lt;&gt;0",D190:O190))</f>
      </c>
      <c r="Q190" s="35"/>
    </row>
    <row r="191">
      <c r="A191" s="34">
        <v>189</v>
      </c>
      <c r="B191" s="31" t="str">
        <v>宁夏</v>
      </c>
      <c r="C191" s="37" t="str">
        <v>系统运行费折价</v>
      </c>
      <c r="D191" s="32">
        <f>'分表3-2026系统运行费'!KQ2</f>
      </c>
      <c r="E191" s="32">
        <f>'分表3-2026系统运行费'!KR2</f>
      </c>
      <c r="F191" s="32">
        <f>'分表3-2026系统运行费'!KS2</f>
      </c>
      <c r="G191" s="32">
        <f>'分表3-2026系统运行费'!KT2</f>
      </c>
      <c r="H191" s="32">
        <f>'分表3-2026系统运行费'!KU2</f>
      </c>
      <c r="I191" s="32"/>
      <c r="J191" s="33"/>
      <c r="K191" s="32"/>
      <c r="L191" s="32"/>
      <c r="M191" s="32"/>
      <c r="N191" s="32"/>
      <c r="O191" s="32"/>
      <c r="P191" s="36">
        <f>IF(SUM(D191:O191)=0,"0",AVERAGEIF(D191:O191,"&lt;&gt;0",D191:O191))</f>
      </c>
      <c r="Q191" s="35"/>
    </row>
    <row r="192">
      <c r="A192" s="34">
        <v>190</v>
      </c>
      <c r="B192" s="31" t="str">
        <v>宁夏</v>
      </c>
      <c r="C192" s="37" t="str">
        <v>综合平段电价--电网代购</v>
      </c>
      <c r="D192" s="36">
        <f>IF(D189="/","/",SUM(D187:D191))</f>
      </c>
      <c r="E192" s="36">
        <f>IF(E189="/","/",SUM(E187:E191))</f>
      </c>
      <c r="F192" s="36">
        <f>IF(F189="/","/",SUM(F187:F191))</f>
      </c>
      <c r="G192" s="36">
        <f>IF(G189="/","/",SUM(G187:G191))</f>
      </c>
      <c r="H192" s="36">
        <f>IF(H189="/","/",SUM(H187:H191))</f>
      </c>
      <c r="I192" s="32"/>
      <c r="J192" s="33"/>
      <c r="K192" s="32"/>
      <c r="L192" s="32"/>
      <c r="M192" s="32"/>
      <c r="N192" s="32"/>
      <c r="O192" s="32"/>
      <c r="P192" s="36">
        <f>IF(SUM(D192:O192)=0,"0",AVERAGEIF(D192:O192,"&lt;&gt;0",D192:O192))</f>
      </c>
      <c r="Q192" s="35"/>
    </row>
    <row r="193">
      <c r="A193" s="34">
        <v>191</v>
      </c>
      <c r="B193" s="31" t="str">
        <v>宁夏</v>
      </c>
      <c r="C193" s="37" t="str">
        <v>入市交易购电价格</v>
      </c>
      <c r="D193" s="32">
        <f>'分表7-2026交易价格'!D25</f>
      </c>
      <c r="E193" s="32">
        <f>'分表7-2026交易价格'!E25</f>
      </c>
      <c r="F193" s="32">
        <f>'分表7-2026交易价格'!F25</f>
      </c>
      <c r="G193" s="32">
        <f>'分表7-2026交易价格'!G25</f>
      </c>
      <c r="H193" s="32">
        <f>'分表7-2026交易价格'!H25</f>
      </c>
      <c r="I193" s="32"/>
      <c r="J193" s="33"/>
      <c r="K193" s="32"/>
      <c r="L193" s="32"/>
      <c r="M193" s="32"/>
      <c r="N193" s="32"/>
      <c r="O193" s="32"/>
      <c r="P193" s="36">
        <f>IF(SUM(D193:O193)=0,"0",AVERAGEIF(D193:O193,"&lt;&gt;0",D193:O193))</f>
      </c>
      <c r="Q193" s="35"/>
    </row>
    <row r="194">
      <c r="A194" s="34">
        <v>192</v>
      </c>
      <c r="B194" s="31" t="str">
        <v>宁夏</v>
      </c>
      <c r="C194" s="37" t="str">
        <v>综合平段电价--入市交易</v>
      </c>
      <c r="D194" s="36">
        <f>IF(D189="/","/",IF(D193&gt;0,D193+SUM(D188:D191),"/"))</f>
      </c>
      <c r="E194" s="36">
        <f>IF(E189="/","/",IF(E193&gt;0,E193+SUM(E188:E191),"/"))</f>
      </c>
      <c r="F194" s="36">
        <f>IF(F189="/","/",IF(F193&gt;0,F193+SUM(F188:F191),"/"))</f>
      </c>
      <c r="G194" s="36">
        <f>IF(G189="/","/",IF(G193&gt;0,G193+SUM(G188:G191),"/"))</f>
      </c>
      <c r="H194" s="36">
        <f>IF(H189="/","/",IF(H193&gt;0,H193+SUM(H188:H191),"/"))</f>
      </c>
      <c r="I194" s="32"/>
      <c r="J194" s="33"/>
      <c r="K194" s="32"/>
      <c r="L194" s="32"/>
      <c r="M194" s="32"/>
      <c r="N194" s="32"/>
      <c r="O194" s="32"/>
      <c r="P194" s="36">
        <f>IF(SUM(D194:O194)=0,"0",AVERAGEIF(D194:O194,"&lt;&gt;0",D194:O194))</f>
      </c>
      <c r="Q194" s="35"/>
    </row>
    <row r="195">
      <c r="A195" s="34">
        <v>193</v>
      </c>
      <c r="B195" s="40" t="str">
        <v>新疆</v>
      </c>
      <c r="C195" s="39" t="str">
        <v>代理购电价格</v>
      </c>
      <c r="D195" s="41">
        <v>0.234939</v>
      </c>
      <c r="E195" s="34">
        <f>'分表1-2026电网代购价'!E77</f>
      </c>
      <c r="F195" s="34">
        <f>'分表1-2026电网代购价'!F77</f>
      </c>
      <c r="G195" s="34">
        <f>'分表1-2026电网代购价'!G77</f>
      </c>
      <c r="H195" s="34">
        <f>'分表1-2026电网代购价'!H77</f>
      </c>
      <c r="I195" s="34"/>
      <c r="J195" s="34"/>
      <c r="K195" s="34"/>
      <c r="L195" s="34"/>
      <c r="M195" s="34"/>
      <c r="N195" s="34"/>
      <c r="O195" s="34"/>
      <c r="P195" s="34">
        <f>IF(SUM(D195:O195)=0,"0",AVERAGEIF(D195:O195,"&lt;&gt;0",D195:O195))</f>
      </c>
      <c r="Q195" s="38"/>
    </row>
    <row r="196">
      <c r="A196" s="34">
        <v>194</v>
      </c>
      <c r="B196" s="40" t="str">
        <v>新疆</v>
      </c>
      <c r="C196" s="39" t="str">
        <v>上网环节线损电价</v>
      </c>
      <c r="D196" s="34">
        <f>'分表2-2026上网环节线损'!C26</f>
      </c>
      <c r="E196" s="34">
        <f>'分表2-2026上网环节线损'!D26</f>
      </c>
      <c r="F196" s="34">
        <f>'分表2-2026上网环节线损'!E26</f>
      </c>
      <c r="G196" s="34">
        <f>'分表2-2026上网环节线损'!F26</f>
      </c>
      <c r="H196" s="34">
        <f>'分表2-2026上网环节线损'!G26</f>
      </c>
      <c r="I196" s="34"/>
      <c r="J196" s="34"/>
      <c r="K196" s="34"/>
      <c r="L196" s="34"/>
      <c r="M196" s="34"/>
      <c r="N196" s="34"/>
      <c r="O196" s="34"/>
      <c r="P196" s="34">
        <f>IF(SUM(D196:O196)=0,"0",AVERAGEIF(D196:O196,"&lt;&gt;0",D196:O196))</f>
      </c>
      <c r="Q196" s="38"/>
    </row>
    <row r="197">
      <c r="A197" s="34">
        <v>195</v>
      </c>
      <c r="B197" s="40" t="str">
        <v>新疆</v>
      </c>
      <c r="C197" s="39" t="str">
        <v>电度输配电价</v>
      </c>
      <c r="D197" s="34" cm="1">
        <f t="array" ref="D197:D197">_xlfn.XLOOKUP($C$1,'分表4-电度输配电价'!$C194：'分表4-电度输配电价'!$C201&amp;'分表4-电度输配电价'!$D194：'分表4-电度输配电价'!$D201,'分表4-电度输配电价'!$E194：'分表4-电度输配电价'!$E201)</f>
      </c>
      <c r="E197" s="34" cm="1">
        <f t="array" ref="E197:E197">_xlfn.XLOOKUP($C$1,'分表4-电度输配电价'!$C194：'分表4-电度输配电价'!$C201&amp;'分表4-电度输配电价'!$D194：'分表4-电度输配电价'!$D201,'分表4-电度输配电价'!$E194：'分表4-电度输配电价'!$E201)</f>
      </c>
      <c r="F197" s="34" cm="1">
        <f t="array" ref="F197:F197">_xlfn.XLOOKUP($C$1,'分表4-电度输配电价'!$C194：'分表4-电度输配电价'!$C201&amp;'分表4-电度输配电价'!$D194：'分表4-电度输配电价'!$D201,'分表4-电度输配电价'!$E194：'分表4-电度输配电价'!$E201)</f>
      </c>
      <c r="G197" s="34" cm="1">
        <f t="array" ref="G197:G197">_xlfn.XLOOKUP($C$1,'分表4-电度输配电价'!$C194：'分表4-电度输配电价'!$C201&amp;'分表4-电度输配电价'!$D194：'分表4-电度输配电价'!$D201,'分表4-电度输配电价'!$E194：'分表4-电度输配电价'!$E201)</f>
      </c>
      <c r="H197" s="34" cm="1">
        <f t="array" ref="H197:H197">_xlfn.XLOOKUP($C$1,'分表4-电度输配电价'!$C194：'分表4-电度输配电价'!$C201&amp;'分表4-电度输配电价'!$D194：'分表4-电度输配电价'!$D201,'分表4-电度输配电价'!$E194：'分表4-电度输配电价'!$E201)</f>
      </c>
      <c r="I197" s="34"/>
      <c r="J197" s="34"/>
      <c r="K197" s="34"/>
      <c r="L197" s="34"/>
      <c r="M197" s="34"/>
      <c r="N197" s="34"/>
      <c r="O197" s="34"/>
      <c r="P197" s="34">
        <f>IF(SUM(D197:O197)=0,"0",AVERAGEIF(D197:O197,"&lt;&gt;0",D197:O197))</f>
      </c>
      <c r="Q197" s="38"/>
    </row>
    <row r="198">
      <c r="A198" s="34">
        <v>196</v>
      </c>
      <c r="B198" s="40" t="str">
        <v>新疆</v>
      </c>
      <c r="C198" s="39" t="str">
        <v>政府性基金及附加</v>
      </c>
      <c r="D198" s="34" cm="1">
        <f t="array" ref="D198:D198">_xlfn.XLOOKUP($B$198,'分表5-政府性基金及附加'!$B$2：'分表5-政府性基金及附加'!$B$199,'分表5-政府性基金及附加'!$D$2：'分表5-政府性基金及附加'!$D$199)</f>
      </c>
      <c r="E198" s="34" cm="1">
        <f t="array" ref="E198:E198">_xlfn.XLOOKUP($B$198,'分表5-政府性基金及附加'!$B$2：'分表5-政府性基金及附加'!$B$199,'分表5-政府性基金及附加'!$D$2：'分表5-政府性基金及附加'!$D$199)</f>
      </c>
      <c r="F198" s="34" cm="1">
        <f t="array" ref="F198:F198">_xlfn.XLOOKUP($B$198,'分表5-政府性基金及附加'!$B$2：'分表5-政府性基金及附加'!$B$199,'分表5-政府性基金及附加'!$D$2：'分表5-政府性基金及附加'!$D$199)</f>
      </c>
      <c r="G198" s="34" cm="1">
        <f t="array" ref="G198:G198">_xlfn.XLOOKUP($B$198,'分表5-政府性基金及附加'!$B$2：'分表5-政府性基金及附加'!$B$199,'分表5-政府性基金及附加'!$D$2：'分表5-政府性基金及附加'!$D$199)</f>
      </c>
      <c r="H198" s="34" cm="1">
        <f t="array" ref="H198:H198">_xlfn.XLOOKUP($B$198,'分表5-政府性基金及附加'!$B$2：'分表5-政府性基金及附加'!$B$199,'分表5-政府性基金及附加'!$D$2：'分表5-政府性基金及附加'!$D$199)</f>
      </c>
      <c r="I198" s="34"/>
      <c r="J198" s="34"/>
      <c r="K198" s="34"/>
      <c r="L198" s="34"/>
      <c r="M198" s="34"/>
      <c r="N198" s="34"/>
      <c r="O198" s="34"/>
      <c r="P198" s="34">
        <f>IF(SUM(D198:O198)=0,"0",AVERAGEIF(D198:O198,"&lt;&gt;0",D198:O198))</f>
      </c>
      <c r="Q198" s="38"/>
    </row>
    <row r="199">
      <c r="A199" s="34">
        <v>197</v>
      </c>
      <c r="B199" s="40" t="str">
        <v>新疆</v>
      </c>
      <c r="C199" s="39" t="str">
        <v>系统运行费折价</v>
      </c>
      <c r="D199" s="34">
        <f>'分表3-2026系统运行费'!LD2</f>
      </c>
      <c r="E199" s="34">
        <f>'分表3-2026系统运行费'!LE2</f>
      </c>
      <c r="F199" s="34">
        <f>'分表3-2026系统运行费'!LF2</f>
      </c>
      <c r="G199" s="34">
        <f>'分表3-2026系统运行费'!LG2</f>
      </c>
      <c r="H199" s="34">
        <f>'分表3-2026系统运行费'!LH2</f>
      </c>
      <c r="I199" s="34"/>
      <c r="J199" s="34"/>
      <c r="K199" s="34"/>
      <c r="L199" s="34"/>
      <c r="M199" s="34"/>
      <c r="N199" s="34"/>
      <c r="O199" s="34"/>
      <c r="P199" s="34">
        <f>IF(SUM(D199:O199)=0,"0",AVERAGEIF(D199:O199,"&lt;&gt;0",D199:O199))</f>
      </c>
      <c r="Q199" s="38"/>
    </row>
    <row r="200">
      <c r="A200" s="34">
        <v>198</v>
      </c>
      <c r="B200" s="40" t="str">
        <v>新疆</v>
      </c>
      <c r="C200" s="39" t="str">
        <v>综合平段电价--电网代购</v>
      </c>
      <c r="D200" s="34">
        <f>IF(D197="/","/",SUM(D195:D199))</f>
      </c>
      <c r="E200" s="34">
        <f>IF(E197="/","/",SUM(E195:E199))</f>
      </c>
      <c r="F200" s="34">
        <f>IF(F197="/","/",SUM(F195:F199))</f>
      </c>
      <c r="G200" s="34">
        <f>IF(G197="/","/",SUM(G195:G199))</f>
      </c>
      <c r="H200" s="34">
        <f>IF(H197="/","/",SUM(H195:H199))</f>
      </c>
      <c r="I200" s="34"/>
      <c r="J200" s="34"/>
      <c r="K200" s="34"/>
      <c r="L200" s="34"/>
      <c r="M200" s="34"/>
      <c r="N200" s="34"/>
      <c r="O200" s="34"/>
      <c r="P200" s="34">
        <f>IF(SUM(D200:O200)=0,"0",AVERAGEIF(D200:O200,"&lt;&gt;0",D200:O200))</f>
      </c>
      <c r="Q200" s="38"/>
    </row>
    <row r="201">
      <c r="A201" s="34">
        <v>199</v>
      </c>
      <c r="B201" s="40" t="str">
        <v>新疆</v>
      </c>
      <c r="C201" s="39" t="str">
        <v>入市交易购电价格</v>
      </c>
      <c r="D201" s="34">
        <f>'分表7-2026交易价格'!D26</f>
      </c>
      <c r="E201" s="34">
        <f>'分表7-2026交易价格'!E26</f>
      </c>
      <c r="F201" s="34">
        <f>'分表7-2026交易价格'!F26</f>
      </c>
      <c r="G201" s="34">
        <f>'分表7-2026交易价格'!G26</f>
      </c>
      <c r="H201" s="34">
        <f>'分表7-2026交易价格'!H26</f>
      </c>
      <c r="I201" s="34"/>
      <c r="J201" s="34"/>
      <c r="K201" s="34"/>
      <c r="L201" s="34"/>
      <c r="M201" s="34"/>
      <c r="N201" s="34"/>
      <c r="O201" s="34"/>
      <c r="P201" s="34">
        <f>IF(SUM(D201:O201)=0,"0",AVERAGEIF(D201:O201,"&lt;&gt;0",D201:O201))</f>
      </c>
      <c r="Q201" s="38"/>
    </row>
    <row r="202">
      <c r="A202" s="34">
        <v>200</v>
      </c>
      <c r="B202" s="40" t="str">
        <v>新疆</v>
      </c>
      <c r="C202" s="39" t="str">
        <v>综合平段电价--入市交易</v>
      </c>
      <c r="D202" s="34">
        <f>IF(D197="/","/",IF(D201&gt;0,D201+SUM(D196:D199),"/"))</f>
      </c>
      <c r="E202" s="34">
        <f>IF(E197="/","/",IF(E201&gt;0,E201+SUM(E196:E199),"/"))</f>
      </c>
      <c r="F202" s="34">
        <f>IF(F197="/","/",IF(F201&gt;0,F201+SUM(F196:F199),"/"))</f>
      </c>
      <c r="G202" s="34">
        <f>IF(G197="/","/",IF(G201&gt;0,G201+SUM(G196:G199),"/"))</f>
      </c>
      <c r="H202" s="34">
        <f>IF(H197="/","/",IF(H201&gt;0,H201+SUM(H196:H199),"/"))</f>
      </c>
      <c r="I202" s="34"/>
      <c r="J202" s="34"/>
      <c r="K202" s="34"/>
      <c r="L202" s="34"/>
      <c r="M202" s="34"/>
      <c r="N202" s="34"/>
      <c r="O202" s="34"/>
      <c r="P202" s="34">
        <f>IF(SUM(D202:O202)=0,"0",AVERAGEIF(D202:O202,"&lt;&gt;0",D202:O202))</f>
      </c>
      <c r="Q202" s="38"/>
    </row>
    <row customHeight="true" ht="19" r="203">
      <c r="A203" s="34">
        <v>201</v>
      </c>
      <c r="B203" s="31" t="str">
        <v>重庆</v>
      </c>
      <c r="C203" s="37" t="str">
        <v>代理购电价格</v>
      </c>
      <c r="D203" s="36">
        <f>'分表1-2026电网代购价'!D80</f>
      </c>
      <c r="E203" s="36">
        <f>'分表1-2026电网代购价'!E80</f>
      </c>
      <c r="F203" s="36">
        <f>'分表1-2026电网代购价'!F80</f>
      </c>
      <c r="G203" s="36">
        <f>'分表1-2026电网代购价'!G80</f>
      </c>
      <c r="H203" s="36">
        <f>'分表1-2026电网代购价'!H80</f>
      </c>
      <c r="I203" s="36"/>
      <c r="J203" s="36"/>
      <c r="K203" s="36"/>
      <c r="L203" s="36"/>
      <c r="M203" s="36"/>
      <c r="N203" s="36"/>
      <c r="O203" s="36"/>
      <c r="P203" s="36">
        <f>IF(SUM(D203:O203)=0,"0",AVERAGEIF(D203:O203,"&lt;&gt;0",D203:O203))</f>
      </c>
      <c r="Q203" s="35"/>
    </row>
    <row r="204">
      <c r="A204" s="34">
        <v>202</v>
      </c>
      <c r="B204" s="31" t="str">
        <v>重庆</v>
      </c>
      <c r="C204" s="37" t="str">
        <v>上网环节线损电价</v>
      </c>
      <c r="D204" s="32">
        <f>'分表2-2026上网环节线损'!C27</f>
      </c>
      <c r="E204" s="32">
        <f>'分表2-2026上网环节线损'!D27</f>
      </c>
      <c r="F204" s="32">
        <f>'分表2-2026上网环节线损'!E27</f>
      </c>
      <c r="G204" s="32">
        <f>'分表2-2026上网环节线损'!F27</f>
      </c>
      <c r="H204" s="32">
        <f>'分表2-2026上网环节线损'!G27</f>
      </c>
      <c r="I204" s="32"/>
      <c r="J204" s="33"/>
      <c r="K204" s="32"/>
      <c r="L204" s="32"/>
      <c r="M204" s="32"/>
      <c r="N204" s="32"/>
      <c r="O204" s="32"/>
      <c r="P204" s="36">
        <f>IF(SUM(D204:O204)=0,"0",AVERAGEIF(D204:O204,"&lt;&gt;0",D204:O204))</f>
      </c>
      <c r="Q204" s="35"/>
    </row>
    <row r="205">
      <c r="A205" s="34">
        <v>203</v>
      </c>
      <c r="B205" s="31" t="str">
        <v>重庆</v>
      </c>
      <c r="C205" s="37" t="str">
        <v>电度输配电价</v>
      </c>
      <c r="D205" s="36" cm="1">
        <f t="array" ref="D205:D205">_xlfn.XLOOKUP($C$1,'分表4-电度输配电价'!$C202：'分表4-电度输配电价'!$C209&amp;'分表4-电度输配电价'!$D202：'分表4-电度输配电价'!$D209,'分表4-电度输配电价'!$E202：'分表4-电度输配电价'!$E209)</f>
      </c>
      <c r="E205" s="36" cm="1">
        <f t="array" ref="E205:E205">_xlfn.XLOOKUP($C$1,'分表4-电度输配电价'!$C202：'分表4-电度输配电价'!$C209&amp;'分表4-电度输配电价'!$D202：'分表4-电度输配电价'!$D209,'分表4-电度输配电价'!$E202：'分表4-电度输配电价'!$E209)</f>
      </c>
      <c r="F205" s="36" cm="1">
        <f t="array" ref="F205:F205">_xlfn.XLOOKUP($C$1,'分表4-电度输配电价'!$C202：'分表4-电度输配电价'!$C209&amp;'分表4-电度输配电价'!$D202：'分表4-电度输配电价'!$D209,'分表4-电度输配电价'!$E202：'分表4-电度输配电价'!$E209)</f>
      </c>
      <c r="G205" s="36" cm="1">
        <f t="array" ref="G205:G205">_xlfn.XLOOKUP($C$1,'分表4-电度输配电价'!$C202：'分表4-电度输配电价'!$C209&amp;'分表4-电度输配电价'!$D202：'分表4-电度输配电价'!$D209,'分表4-电度输配电价'!$E202：'分表4-电度输配电价'!$E209)</f>
      </c>
      <c r="H205" s="36" cm="1">
        <f t="array" ref="H205:H205">_xlfn.XLOOKUP($C$1,'分表4-电度输配电价'!$C202：'分表4-电度输配电价'!$C209&amp;'分表4-电度输配电价'!$D202：'分表4-电度输配电价'!$D209,'分表4-电度输配电价'!$E202：'分表4-电度输配电价'!$E209)</f>
      </c>
      <c r="I205" s="32"/>
      <c r="J205" s="33"/>
      <c r="K205" s="32"/>
      <c r="L205" s="32"/>
      <c r="M205" s="32"/>
      <c r="N205" s="32"/>
      <c r="O205" s="32"/>
      <c r="P205" s="36">
        <f>IF(SUM(D205:O205)=0,"0",AVERAGEIF(D205:O205,"&lt;&gt;0",D205:O205))</f>
      </c>
      <c r="Q205" s="35"/>
    </row>
    <row r="206">
      <c r="A206" s="34">
        <v>204</v>
      </c>
      <c r="B206" s="31" t="str">
        <v>重庆</v>
      </c>
      <c r="C206" s="37" t="str">
        <v>政府性基金及附加</v>
      </c>
      <c r="D206" s="36" cm="1">
        <f t="array" ref="D206:D206">_xlfn.XLOOKUP($B$206,'分表5-政府性基金及附加'!$B$2：'分表5-政府性基金及附加'!$B$199,'分表5-政府性基金及附加'!$D$2：'分表5-政府性基金及附加'!$D$199)</f>
      </c>
      <c r="E206" s="36" cm="1">
        <f t="array" ref="E206:E206">_xlfn.XLOOKUP($B$206,'分表5-政府性基金及附加'!$B$2：'分表5-政府性基金及附加'!$B$199,'分表5-政府性基金及附加'!$D$2：'分表5-政府性基金及附加'!$D$199)</f>
      </c>
      <c r="F206" s="36" cm="1">
        <f t="array" ref="F206:F206">_xlfn.XLOOKUP($B$206,'分表5-政府性基金及附加'!$B$2：'分表5-政府性基金及附加'!$B$199,'分表5-政府性基金及附加'!$D$2：'分表5-政府性基金及附加'!$D$199)</f>
      </c>
      <c r="G206" s="36" cm="1">
        <f t="array" ref="G206:G206">_xlfn.XLOOKUP($B$206,'分表5-政府性基金及附加'!$B$2：'分表5-政府性基金及附加'!$B$199,'分表5-政府性基金及附加'!$D$2：'分表5-政府性基金及附加'!$D$199)</f>
      </c>
      <c r="H206" s="36" cm="1">
        <f t="array" ref="H206:H206">_xlfn.XLOOKUP($B$206,'分表5-政府性基金及附加'!$B$2：'分表5-政府性基金及附加'!$B$199,'分表5-政府性基金及附加'!$D$2：'分表5-政府性基金及附加'!$D$199)</f>
      </c>
      <c r="I206" s="32"/>
      <c r="J206" s="33"/>
      <c r="K206" s="32"/>
      <c r="L206" s="32"/>
      <c r="M206" s="32"/>
      <c r="N206" s="32"/>
      <c r="O206" s="32"/>
      <c r="P206" s="36">
        <f>IF(SUM(D206:O206)=0,"0",AVERAGEIF(D206:O206,"&lt;&gt;0",D206:O206))</f>
      </c>
      <c r="Q206" s="35"/>
    </row>
    <row r="207">
      <c r="A207" s="34">
        <v>205</v>
      </c>
      <c r="B207" s="31" t="str">
        <v>重庆</v>
      </c>
      <c r="C207" s="37" t="str">
        <v>系统运行费折价</v>
      </c>
      <c r="D207" s="32">
        <f>'分表3-2026系统运行费'!LQ2</f>
      </c>
      <c r="E207" s="32">
        <f>'分表3-2026系统运行费'!LR2</f>
      </c>
      <c r="F207" s="32">
        <f>'分表3-2026系统运行费'!LS2</f>
      </c>
      <c r="G207" s="32">
        <f>'分表3-2026系统运行费'!LT2</f>
      </c>
      <c r="H207" s="32">
        <f>'分表3-2026系统运行费'!LU2</f>
      </c>
      <c r="I207" s="32"/>
      <c r="J207" s="33"/>
      <c r="K207" s="32"/>
      <c r="L207" s="32"/>
      <c r="M207" s="32"/>
      <c r="N207" s="32"/>
      <c r="O207" s="32"/>
      <c r="P207" s="36">
        <f>IF(SUM(D207:O207)=0,"0",AVERAGEIF(D207:O207,"&lt;&gt;0",D207:O207))</f>
      </c>
      <c r="Q207" s="35"/>
    </row>
    <row r="208">
      <c r="A208" s="34">
        <v>206</v>
      </c>
      <c r="B208" s="31" t="str">
        <v>重庆</v>
      </c>
      <c r="C208" s="37" t="str">
        <v>综合平段电价--电网代购</v>
      </c>
      <c r="D208" s="36">
        <f>IF(D205="/","/",SUM(D203:D207))</f>
      </c>
      <c r="E208" s="36">
        <f>IF(E205="/","/",SUM(E203:E207))</f>
      </c>
      <c r="F208" s="36">
        <f>IF(F205="/","/",SUM(F203:F207))</f>
      </c>
      <c r="G208" s="36">
        <f>IF(G205="/","/",SUM(G203:G207))</f>
      </c>
      <c r="H208" s="36">
        <f>IF(H205="/","/",SUM(H203:H207))</f>
      </c>
      <c r="I208" s="32"/>
      <c r="J208" s="33"/>
      <c r="K208" s="32"/>
      <c r="L208" s="32"/>
      <c r="M208" s="32"/>
      <c r="N208" s="32"/>
      <c r="O208" s="32"/>
      <c r="P208" s="36">
        <f>IF(SUM(D208:O208)=0,"0",AVERAGEIF(D208:O208,"&lt;&gt;0",D208:O208))</f>
      </c>
      <c r="Q208" s="35"/>
    </row>
    <row r="209">
      <c r="A209" s="34">
        <v>207</v>
      </c>
      <c r="B209" s="31" t="str">
        <v>重庆</v>
      </c>
      <c r="C209" s="37" t="str">
        <v>入市交易购电价格</v>
      </c>
      <c r="D209" s="32">
        <f>'分表7-2026交易价格'!D27</f>
      </c>
      <c r="E209" s="32">
        <f>'分表7-2026交易价格'!E27</f>
      </c>
      <c r="F209" s="32">
        <f>'分表7-2026交易价格'!F27</f>
      </c>
      <c r="G209" s="32">
        <f>'分表7-2026交易价格'!G27</f>
      </c>
      <c r="H209" s="32">
        <f>'分表7-2026交易价格'!H27</f>
      </c>
      <c r="I209" s="32"/>
      <c r="J209" s="33"/>
      <c r="K209" s="32"/>
      <c r="L209" s="32"/>
      <c r="M209" s="32"/>
      <c r="N209" s="32"/>
      <c r="O209" s="32"/>
      <c r="P209" s="36">
        <f>IF(SUM(D209:O209)=0,"0",AVERAGEIF(D209:O209,"&lt;&gt;0",D209:O209))</f>
      </c>
      <c r="Q209" s="35"/>
    </row>
    <row r="210">
      <c r="A210" s="34">
        <v>208</v>
      </c>
      <c r="B210" s="31" t="str">
        <v>重庆</v>
      </c>
      <c r="C210" s="37" t="str">
        <v>综合平段电价--入市交易</v>
      </c>
      <c r="D210" s="36">
        <f>IF(D205="/","/",IF(D209&gt;0,D209+SUM(D204:D207),"/"))</f>
      </c>
      <c r="E210" s="36">
        <f>IF(E205="/","/",IF(E209&gt;0,E209+SUM(E204:E207),"/"))</f>
      </c>
      <c r="F210" s="36">
        <f>IF(F205="/","/",IF(F209&gt;0,F209+SUM(F204:F207),"/"))</f>
      </c>
      <c r="G210" s="36">
        <f>IF(G205="/","/",IF(G209&gt;0,G209+SUM(G204:G207),"/"))</f>
      </c>
      <c r="H210" s="36">
        <f>IF(H205="/","/",IF(H209&gt;0,H209+SUM(H204:H207),"/"))</f>
      </c>
      <c r="I210" s="32"/>
      <c r="J210" s="33"/>
      <c r="K210" s="32"/>
      <c r="L210" s="32"/>
      <c r="M210" s="32"/>
      <c r="N210" s="32"/>
      <c r="O210" s="32"/>
      <c r="P210" s="36">
        <f>IF(SUM(D210:O210)=0,"0",AVERAGEIF(D210:O210,"&lt;&gt;0",D210:O210))</f>
      </c>
      <c r="Q210" s="35"/>
    </row>
    <row r="211">
      <c r="A211" s="34">
        <v>209</v>
      </c>
      <c r="B211" s="40" t="str">
        <v>四川</v>
      </c>
      <c r="C211" s="39" t="str">
        <v>代理购电价格</v>
      </c>
      <c r="D211" s="34">
        <f>'分表1-2026电网代购价'!D83</f>
      </c>
      <c r="E211" s="34">
        <f>'分表1-2026电网代购价'!E83</f>
      </c>
      <c r="F211" s="34">
        <f>'分表1-2026电网代购价'!F83</f>
      </c>
      <c r="G211" s="34">
        <f>'分表1-2026电网代购价'!G83</f>
      </c>
      <c r="H211" s="34">
        <f>'分表1-2026电网代购价'!H83</f>
      </c>
      <c r="I211" s="34"/>
      <c r="J211" s="34"/>
      <c r="K211" s="34"/>
      <c r="L211" s="34"/>
      <c r="M211" s="34"/>
      <c r="N211" s="34"/>
      <c r="O211" s="34"/>
      <c r="P211" s="34">
        <f>IF(SUM(D211:O211)=0,"0",AVERAGEIF(D211:O211,"&lt;&gt;0",D211:O211))</f>
      </c>
      <c r="Q211" s="38"/>
    </row>
    <row r="212">
      <c r="A212" s="34">
        <v>210</v>
      </c>
      <c r="B212" s="40" t="str">
        <v>四川</v>
      </c>
      <c r="C212" s="39" t="str">
        <v>上网环节线损电价</v>
      </c>
      <c r="D212" s="34">
        <f>'分表2-2026上网环节线损'!C28</f>
      </c>
      <c r="E212" s="34">
        <f>'分表2-2026上网环节线损'!D28</f>
      </c>
      <c r="F212" s="34">
        <f>'分表2-2026上网环节线损'!E28</f>
      </c>
      <c r="G212" s="34">
        <f>'分表2-2026上网环节线损'!F28</f>
      </c>
      <c r="H212" s="34">
        <f>'分表2-2026上网环节线损'!G28</f>
      </c>
      <c r="I212" s="34"/>
      <c r="J212" s="34"/>
      <c r="K212" s="34"/>
      <c r="L212" s="34"/>
      <c r="M212" s="34"/>
      <c r="N212" s="34"/>
      <c r="O212" s="34"/>
      <c r="P212" s="34">
        <f>IF(SUM(D212:O212)=0,"0",AVERAGEIF(D212:O212,"&lt;&gt;0",D212:O212))</f>
      </c>
      <c r="Q212" s="38"/>
    </row>
    <row r="213">
      <c r="A213" s="34">
        <v>211</v>
      </c>
      <c r="B213" s="40" t="str">
        <v>四川</v>
      </c>
      <c r="C213" s="39" t="str">
        <v>电度输配电价</v>
      </c>
      <c r="D213" s="34" cm="1">
        <f t="array" ref="D213:D213">_xlfn.XLOOKUP($C$1,'分表4-电度输配电价'!$C210：'分表4-电度输配电价'!$C217&amp;'分表4-电度输配电价'!$D210：'分表4-电度输配电价'!$D217,'分表4-电度输配电价'!$E210：'分表4-电度输配电价'!$E217)</f>
      </c>
      <c r="E213" s="34" cm="1">
        <f t="array" ref="E213:E213">_xlfn.XLOOKUP($C$1,'分表4-电度输配电价'!$C210：'分表4-电度输配电价'!$C217&amp;'分表4-电度输配电价'!$D210：'分表4-电度输配电价'!$D217,'分表4-电度输配电价'!$E210：'分表4-电度输配电价'!$E217)</f>
      </c>
      <c r="F213" s="34" cm="1">
        <f t="array" ref="F213:F213">_xlfn.XLOOKUP($C$1,'分表4-电度输配电价'!$C210：'分表4-电度输配电价'!$C217&amp;'分表4-电度输配电价'!$D210：'分表4-电度输配电价'!$D217,'分表4-电度输配电价'!$E210：'分表4-电度输配电价'!$E217)</f>
      </c>
      <c r="G213" s="34" cm="1">
        <f t="array" ref="G213:G213">_xlfn.XLOOKUP($C$1,'分表4-电度输配电价'!$C210：'分表4-电度输配电价'!$C217&amp;'分表4-电度输配电价'!$D210：'分表4-电度输配电价'!$D217,'分表4-电度输配电价'!$E210：'分表4-电度输配电价'!$E217)</f>
      </c>
      <c r="H213" s="34" cm="1">
        <f t="array" ref="H213:H213">_xlfn.XLOOKUP($C$1,'分表4-电度输配电价'!$C210：'分表4-电度输配电价'!$C217&amp;'分表4-电度输配电价'!$D210：'分表4-电度输配电价'!$D217,'分表4-电度输配电价'!$E210：'分表4-电度输配电价'!$E217)</f>
      </c>
      <c r="I213" s="34"/>
      <c r="J213" s="34"/>
      <c r="K213" s="34"/>
      <c r="L213" s="34"/>
      <c r="M213" s="34"/>
      <c r="N213" s="34"/>
      <c r="O213" s="34"/>
      <c r="P213" s="34">
        <f>IF(SUM(D213:O213)=0,"0",AVERAGEIF(D213:O213,"&lt;&gt;0",D213:O213))</f>
      </c>
      <c r="Q213" s="38"/>
    </row>
    <row r="214">
      <c r="A214" s="34">
        <v>212</v>
      </c>
      <c r="B214" s="40" t="str">
        <v>四川</v>
      </c>
      <c r="C214" s="39" t="str">
        <v>政府性基金及附加</v>
      </c>
      <c r="D214" s="34" cm="1">
        <f t="array" ref="D214:D214">_xlfn.XLOOKUP($B$214,'分表5-政府性基金及附加'!$B$2：'分表5-政府性基金及附加'!$B$199,'分表5-政府性基金及附加'!$D$2：'分表5-政府性基金及附加'!$D$199)</f>
      </c>
      <c r="E214" s="34" cm="1">
        <f t="array" ref="E214:E214">_xlfn.XLOOKUP($B$214,'分表5-政府性基金及附加'!$B$2：'分表5-政府性基金及附加'!$B$199,'分表5-政府性基金及附加'!$D$2：'分表5-政府性基金及附加'!$D$199)</f>
      </c>
      <c r="F214" s="34" cm="1">
        <f t="array" ref="F214:F214">_xlfn.XLOOKUP($B$214,'分表5-政府性基金及附加'!$B$2：'分表5-政府性基金及附加'!$B$199,'分表5-政府性基金及附加'!$D$2：'分表5-政府性基金及附加'!$D$199)</f>
      </c>
      <c r="G214" s="34" cm="1">
        <f t="array" ref="G214:G214">_xlfn.XLOOKUP($B$214,'分表5-政府性基金及附加'!$B$2：'分表5-政府性基金及附加'!$B$199,'分表5-政府性基金及附加'!$D$2：'分表5-政府性基金及附加'!$D$199)</f>
      </c>
      <c r="H214" s="34" cm="1">
        <f t="array" ref="H214:H214">_xlfn.XLOOKUP($B$214,'分表5-政府性基金及附加'!$B$2：'分表5-政府性基金及附加'!$B$199,'分表5-政府性基金及附加'!$D$2：'分表5-政府性基金及附加'!$D$199)</f>
      </c>
      <c r="I214" s="34"/>
      <c r="J214" s="34"/>
      <c r="K214" s="34"/>
      <c r="L214" s="34"/>
      <c r="M214" s="34"/>
      <c r="N214" s="34"/>
      <c r="O214" s="34"/>
      <c r="P214" s="34">
        <f>IF(SUM(D214:O214)=0,"0",AVERAGEIF(D214:O214,"&lt;&gt;0",D214:O214))</f>
      </c>
      <c r="Q214" s="38"/>
    </row>
    <row r="215">
      <c r="A215" s="34">
        <v>213</v>
      </c>
      <c r="B215" s="40" t="str">
        <v>四川</v>
      </c>
      <c r="C215" s="39" t="str">
        <v>系统运行费折价</v>
      </c>
      <c r="D215" s="34">
        <f>'分表3-2026系统运行费'!MD2</f>
      </c>
      <c r="E215" s="34">
        <f>'分表3-2026系统运行费'!ME2</f>
      </c>
      <c r="F215" s="34">
        <f>'分表3-2026系统运行费'!MF2</f>
      </c>
      <c r="G215" s="34">
        <f>'分表3-2026系统运行费'!MG2</f>
      </c>
      <c r="H215" s="34">
        <f>'分表3-2026系统运行费'!MH2</f>
      </c>
      <c r="I215" s="34"/>
      <c r="J215" s="34"/>
      <c r="K215" s="34"/>
      <c r="L215" s="34"/>
      <c r="M215" s="34"/>
      <c r="N215" s="34"/>
      <c r="O215" s="34"/>
      <c r="P215" s="34">
        <f>IF(SUM(D215:O215)=0,"0",AVERAGEIF(D215:O215,"&lt;&gt;0",D215:O215))</f>
      </c>
      <c r="Q215" s="38"/>
    </row>
    <row r="216">
      <c r="A216" s="34">
        <v>214</v>
      </c>
      <c r="B216" s="40" t="str">
        <v>四川</v>
      </c>
      <c r="C216" s="39" t="str">
        <v>综合平段电价--电网代购</v>
      </c>
      <c r="D216" s="34">
        <f>IF(D213="/","/",SUM(D211:D215))</f>
      </c>
      <c r="E216" s="34">
        <f>IF(E213="/","/",SUM(E211:E215))</f>
      </c>
      <c r="F216" s="34">
        <f>IF(F213="/","/",SUM(F211:F215))</f>
      </c>
      <c r="G216" s="34">
        <f>IF(G213="/","/",SUM(G211:G215))</f>
      </c>
      <c r="H216" s="34">
        <f>IF(H213="/","/",SUM(H211:H215))</f>
      </c>
      <c r="I216" s="34"/>
      <c r="J216" s="34"/>
      <c r="K216" s="34"/>
      <c r="L216" s="34"/>
      <c r="M216" s="34"/>
      <c r="N216" s="34"/>
      <c r="O216" s="34"/>
      <c r="P216" s="34">
        <f>IF(SUM(D216:O216)=0,"0",AVERAGEIF(D216:O216,"&lt;&gt;0",D216:O216))</f>
      </c>
      <c r="Q216" s="38"/>
    </row>
    <row r="217">
      <c r="A217" s="34">
        <v>215</v>
      </c>
      <c r="B217" s="40" t="str">
        <v>四川</v>
      </c>
      <c r="C217" s="39" t="str">
        <v>入市交易购电价格</v>
      </c>
      <c r="D217" s="34">
        <f>'分表7-2026交易价格'!D28</f>
      </c>
      <c r="E217" s="34">
        <f>'分表7-2026交易价格'!E28</f>
      </c>
      <c r="F217" s="34">
        <f>'分表7-2026交易价格'!F28</f>
      </c>
      <c r="G217" s="34">
        <f>'分表7-2026交易价格'!G28</f>
      </c>
      <c r="H217" s="34">
        <f>'分表7-2026交易价格'!H28</f>
      </c>
      <c r="I217" s="34"/>
      <c r="J217" s="34"/>
      <c r="K217" s="34"/>
      <c r="L217" s="34"/>
      <c r="M217" s="34"/>
      <c r="N217" s="34"/>
      <c r="O217" s="34"/>
      <c r="P217" s="34">
        <f>IF(SUM(D217:O217)=0,"0",AVERAGEIF(D217:O217,"&lt;&gt;0",D217:O217))</f>
      </c>
      <c r="Q217" s="38"/>
    </row>
    <row r="218">
      <c r="A218" s="34">
        <v>216</v>
      </c>
      <c r="B218" s="40" t="str">
        <v>四川</v>
      </c>
      <c r="C218" s="39" t="str">
        <v>综合平段电价--入市交易</v>
      </c>
      <c r="D218" s="34">
        <f>IF(D213="/","/",IF(D217&gt;0,D217+SUM(D212:D215),"/"))</f>
      </c>
      <c r="E218" s="34">
        <f>IF(E213="/","/",IF(E217&gt;0,E217+SUM(E212:E215),"/"))</f>
      </c>
      <c r="F218" s="34">
        <f>IF(F213="/","/",IF(F217&gt;0,F217+SUM(F212:F215),"/"))</f>
      </c>
      <c r="G218" s="34">
        <f>IF(G213="/","/",IF(G217&gt;0,G217+SUM(G212:G215),"/"))</f>
      </c>
      <c r="H218" s="34">
        <f>IF(H213="/","/",IF(H217&gt;0,H217+SUM(H212:H215),"/"))</f>
      </c>
      <c r="I218" s="34"/>
      <c r="J218" s="34"/>
      <c r="K218" s="34"/>
      <c r="L218" s="34"/>
      <c r="M218" s="34"/>
      <c r="N218" s="34"/>
      <c r="O218" s="34"/>
      <c r="P218" s="34">
        <f>IF(SUM(D218:O218)=0,"0",AVERAGEIF(D218:O218,"&lt;&gt;0",D218:O218))</f>
      </c>
      <c r="Q218" s="38"/>
    </row>
    <row r="219">
      <c r="A219" s="34">
        <v>217</v>
      </c>
      <c r="B219" s="31" t="str">
        <v>广东</v>
      </c>
      <c r="C219" s="37" t="str">
        <v>代理购电价格</v>
      </c>
      <c r="D219" s="36">
        <f>'分表1-2026电网代购价'!D86</f>
      </c>
      <c r="E219" s="36">
        <f>'分表1-2026电网代购价'!E86</f>
      </c>
      <c r="F219" s="36">
        <f>'分表1-2026电网代购价'!F86</f>
      </c>
      <c r="G219" s="36">
        <f>'分表1-2026电网代购价'!G86</f>
      </c>
      <c r="H219" s="36">
        <f>'分表1-2026电网代购价'!H86</f>
      </c>
      <c r="I219" s="36"/>
      <c r="J219" s="36"/>
      <c r="K219" s="36"/>
      <c r="L219" s="36"/>
      <c r="M219" s="36"/>
      <c r="N219" s="36"/>
      <c r="O219" s="36"/>
      <c r="P219" s="36">
        <f>IF(SUM(D219:O219)=0,"0",AVERAGEIF(D219:O219,"&lt;&gt;0",D219:O219))</f>
      </c>
      <c r="Q219" s="35"/>
    </row>
    <row r="220">
      <c r="A220" s="34">
        <v>218</v>
      </c>
      <c r="B220" s="31" t="str">
        <v>广东</v>
      </c>
      <c r="C220" s="37" t="str">
        <v>上网环节线损电价</v>
      </c>
      <c r="D220" s="32">
        <f>'分表2-2026上网环节线损'!C29</f>
      </c>
      <c r="E220" s="32">
        <f>'分表2-2026上网环节线损'!D29</f>
      </c>
      <c r="F220" s="32">
        <f>'分表2-2026上网环节线损'!E29</f>
      </c>
      <c r="G220" s="32">
        <f>'分表2-2026上网环节线损'!F29</f>
      </c>
      <c r="H220" s="32">
        <f>'分表2-2026上网环节线损'!G29</f>
      </c>
      <c r="I220" s="32"/>
      <c r="J220" s="33"/>
      <c r="K220" s="32"/>
      <c r="L220" s="32"/>
      <c r="M220" s="32"/>
      <c r="N220" s="32"/>
      <c r="O220" s="32"/>
      <c r="P220" s="36">
        <f>IF(SUM(D220:O220)=0,"0",AVERAGEIF(D220:O220,"&lt;&gt;0",D220:O220))</f>
      </c>
      <c r="Q220" s="35"/>
    </row>
    <row r="221">
      <c r="A221" s="34">
        <v>219</v>
      </c>
      <c r="B221" s="31" t="str">
        <v>广东</v>
      </c>
      <c r="C221" s="37" t="str">
        <v>电度输配电价</v>
      </c>
      <c r="D221" s="36" cm="1">
        <f t="array" ref="D221:D221">_xlfn.XLOOKUP($C$1,'分表4-电度输配电价'!$C218：'分表4-电度输配电价'!$C225&amp;'分表4-电度输配电价'!$D218：'分表4-电度输配电价'!$D225,'分表4-电度输配电价'!$E218：'分表4-电度输配电价'!$E225)</f>
      </c>
      <c r="E221" s="36" cm="1">
        <f t="array" ref="E221:E221">_xlfn.XLOOKUP($C$1,'分表4-电度输配电价'!$C218：'分表4-电度输配电价'!$C225&amp;'分表4-电度输配电价'!$D218：'分表4-电度输配电价'!$D225,'分表4-电度输配电价'!$E218：'分表4-电度输配电价'!$E225)</f>
      </c>
      <c r="F221" s="36" cm="1">
        <f t="array" ref="F221:F221">_xlfn.XLOOKUP($C$1,'分表4-电度输配电价'!$C218：'分表4-电度输配电价'!$C225&amp;'分表4-电度输配电价'!$D218：'分表4-电度输配电价'!$D225,'分表4-电度输配电价'!$E218：'分表4-电度输配电价'!$E225)</f>
      </c>
      <c r="G221" s="36" cm="1">
        <f t="array" ref="G221:G221">_xlfn.XLOOKUP($C$1,'分表4-电度输配电价'!$C218：'分表4-电度输配电价'!$C225&amp;'分表4-电度输配电价'!$D218：'分表4-电度输配电价'!$D225,'分表4-电度输配电价'!$E218：'分表4-电度输配电价'!$E225)</f>
      </c>
      <c r="H221" s="36" cm="1">
        <f t="array" ref="H221:H221">_xlfn.XLOOKUP($C$1,'分表4-电度输配电价'!$C218：'分表4-电度输配电价'!$C225&amp;'分表4-电度输配电价'!$D218：'分表4-电度输配电价'!$D225,'分表4-电度输配电价'!$E218：'分表4-电度输配电价'!$E225)</f>
      </c>
      <c r="I221" s="32"/>
      <c r="J221" s="33"/>
      <c r="K221" s="32"/>
      <c r="L221" s="32"/>
      <c r="M221" s="32"/>
      <c r="N221" s="32"/>
      <c r="O221" s="32"/>
      <c r="P221" s="36">
        <f>IF(SUM(D221:O221)=0,"0",AVERAGEIF(D221:O221,"&lt;&gt;0",D221:O221))</f>
      </c>
      <c r="Q221" s="35"/>
    </row>
    <row r="222">
      <c r="A222" s="34">
        <v>220</v>
      </c>
      <c r="B222" s="31" t="str">
        <v>广东</v>
      </c>
      <c r="C222" s="37" t="str">
        <v>政府性基金及附加</v>
      </c>
      <c r="D222" s="36" cm="1">
        <f t="array" ref="D222:D222">_xlfn.XLOOKUP($B$222,'分表5-政府性基金及附加'!$B$2：'分表5-政府性基金及附加'!$B$199,'分表5-政府性基金及附加'!$D$2：'分表5-政府性基金及附加'!$D$199)</f>
      </c>
      <c r="E222" s="36" cm="1">
        <f t="array" ref="E222:E222">_xlfn.XLOOKUP($B$222,'分表5-政府性基金及附加'!$B$2：'分表5-政府性基金及附加'!$B$199,'分表5-政府性基金及附加'!$D$2：'分表5-政府性基金及附加'!$D$199)</f>
      </c>
      <c r="F222" s="36" cm="1">
        <f t="array" ref="F222:F222">_xlfn.XLOOKUP($B$222,'分表5-政府性基金及附加'!$B$2：'分表5-政府性基金及附加'!$B$199,'分表5-政府性基金及附加'!$D$2：'分表5-政府性基金及附加'!$D$199)</f>
      </c>
      <c r="G222" s="36" cm="1">
        <f t="array" ref="G222:G222">_xlfn.XLOOKUP($B$222,'分表5-政府性基金及附加'!$B$2：'分表5-政府性基金及附加'!$B$199,'分表5-政府性基金及附加'!$D$2：'分表5-政府性基金及附加'!$D$199)</f>
      </c>
      <c r="H222" s="36" cm="1">
        <f t="array" ref="H222:H222">_xlfn.XLOOKUP($B$222,'分表5-政府性基金及附加'!$B$2：'分表5-政府性基金及附加'!$B$199,'分表5-政府性基金及附加'!$D$2：'分表5-政府性基金及附加'!$D$199)</f>
      </c>
      <c r="I222" s="32"/>
      <c r="J222" s="33"/>
      <c r="K222" s="32"/>
      <c r="L222" s="32"/>
      <c r="M222" s="32"/>
      <c r="N222" s="32"/>
      <c r="O222" s="32"/>
      <c r="P222" s="36">
        <f>IF(SUM(D222:O222)=0,"0",AVERAGEIF(D222:O222,"&lt;&gt;0",D222:O222))</f>
      </c>
      <c r="Q222" s="35"/>
    </row>
    <row r="223">
      <c r="A223" s="34">
        <v>221</v>
      </c>
      <c r="B223" s="31" t="str">
        <v>广东</v>
      </c>
      <c r="C223" s="37" t="str">
        <v>系统运行费折价</v>
      </c>
      <c r="D223" s="32">
        <f>'分表3-2026系统运行费'!MQ2</f>
      </c>
      <c r="E223" s="32">
        <f>'分表3-2026系统运行费'!MR2</f>
      </c>
      <c r="F223" s="32">
        <f>'分表3-2026系统运行费'!MS2</f>
      </c>
      <c r="G223" s="32">
        <f>'分表3-2026系统运行费'!MT2</f>
      </c>
      <c r="H223" s="32">
        <f>'分表3-2026系统运行费'!MU2</f>
      </c>
      <c r="I223" s="32"/>
      <c r="J223" s="33"/>
      <c r="K223" s="32"/>
      <c r="L223" s="32"/>
      <c r="M223" s="32"/>
      <c r="N223" s="32"/>
      <c r="O223" s="32"/>
      <c r="P223" s="36">
        <f>IF(SUM(D223:O223)=0,"0",AVERAGEIF(D223:O223,"&lt;&gt;0",D223:O223))</f>
      </c>
      <c r="Q223" s="35"/>
    </row>
    <row r="224">
      <c r="A224" s="34">
        <v>222</v>
      </c>
      <c r="B224" s="31" t="str">
        <v>广东</v>
      </c>
      <c r="C224" s="37" t="str">
        <v>综合平段电价--电网代购</v>
      </c>
      <c r="D224" s="36">
        <f>IF(D221="/","/",SUM(D219:D223))</f>
      </c>
      <c r="E224" s="36">
        <f>IF(E221="/","/",SUM(E219:E223))</f>
      </c>
      <c r="F224" s="36">
        <f>IF(F221="/","/",SUM(F219:F223))</f>
      </c>
      <c r="G224" s="36">
        <f>IF(G221="/","/",SUM(G219:G223))</f>
      </c>
      <c r="H224" s="36">
        <f>IF(H221="/","/",SUM(H219:H223))</f>
      </c>
      <c r="I224" s="32"/>
      <c r="J224" s="33"/>
      <c r="K224" s="32"/>
      <c r="L224" s="32"/>
      <c r="M224" s="32"/>
      <c r="N224" s="32"/>
      <c r="O224" s="32"/>
      <c r="P224" s="36">
        <f>IF(SUM(D224:O224)=0,"0",AVERAGEIF(D224:O224,"&lt;&gt;0",D224:O224))</f>
      </c>
      <c r="Q224" s="35"/>
    </row>
    <row r="225">
      <c r="A225" s="34">
        <v>223</v>
      </c>
      <c r="B225" s="31" t="str">
        <v>广东</v>
      </c>
      <c r="C225" s="37" t="str">
        <v>入市交易购电价格</v>
      </c>
      <c r="D225" s="32">
        <f>'分表7-2026交易价格'!D29</f>
      </c>
      <c r="E225" s="32">
        <f>'分表7-2026交易价格'!E29</f>
      </c>
      <c r="F225" s="32">
        <f>'分表7-2026交易价格'!F29</f>
      </c>
      <c r="G225" s="32">
        <f>'分表7-2026交易价格'!G29</f>
      </c>
      <c r="H225" s="32">
        <f>'分表7-2026交易价格'!H29</f>
      </c>
      <c r="I225" s="32"/>
      <c r="J225" s="33"/>
      <c r="K225" s="32"/>
      <c r="L225" s="32"/>
      <c r="M225" s="32"/>
      <c r="N225" s="32"/>
      <c r="O225" s="32"/>
      <c r="P225" s="36">
        <f>IF(SUM(D225:O225)=0,"0",AVERAGEIF(D225:O225,"&lt;&gt;0",D225:O225))</f>
      </c>
      <c r="Q225" s="35"/>
    </row>
    <row r="226">
      <c r="A226" s="34">
        <v>224</v>
      </c>
      <c r="B226" s="31" t="str">
        <v>广东</v>
      </c>
      <c r="C226" s="37" t="str">
        <v>综合平段电价--入市交易</v>
      </c>
      <c r="D226" s="36">
        <f>IF(D221="/","/",IF(D225&gt;0,D225+SUM(D220:D223),"/"))</f>
      </c>
      <c r="E226" s="36">
        <f>IF(E221="/","/",IF(E225&gt;0,E225+SUM(E220:E223),"/"))</f>
      </c>
      <c r="F226" s="36">
        <f>IF(F221="/","/",IF(F225&gt;0,F225+SUM(F220:F223),"/"))</f>
      </c>
      <c r="G226" s="36">
        <f>IF(G221="/","/",IF(G225&gt;0,G225+SUM(G220:G223),"/"))</f>
      </c>
      <c r="H226" s="36">
        <f>IF(H221="/","/",IF(H225&gt;0,H225+SUM(H220:H223),"/"))</f>
      </c>
      <c r="I226" s="32"/>
      <c r="J226" s="33"/>
      <c r="K226" s="32"/>
      <c r="L226" s="32"/>
      <c r="M226" s="32"/>
      <c r="N226" s="32"/>
      <c r="O226" s="32"/>
      <c r="P226" s="36">
        <f>IF(SUM(D226:O226)=0,"0",AVERAGEIF(D226:O226,"&lt;&gt;0",D226:O226))</f>
      </c>
      <c r="Q226" s="35"/>
    </row>
    <row r="227">
      <c r="A227" s="34">
        <v>225</v>
      </c>
      <c r="B227" s="40" t="str">
        <v>广西</v>
      </c>
      <c r="C227" s="39" t="str">
        <v>代理购电价格</v>
      </c>
      <c r="D227" s="34">
        <f>'分表1-2026电网代购价'!D89</f>
      </c>
      <c r="E227" s="34">
        <f>'分表1-2026电网代购价'!E89</f>
      </c>
      <c r="F227" s="34">
        <f>'分表1-2026电网代购价'!F89</f>
      </c>
      <c r="G227" s="34">
        <f>'分表1-2026电网代购价'!G89</f>
      </c>
      <c r="H227" s="34">
        <f>'分表1-2026电网代购价'!H89</f>
      </c>
      <c r="I227" s="34"/>
      <c r="J227" s="34"/>
      <c r="K227" s="34"/>
      <c r="L227" s="34"/>
      <c r="M227" s="34"/>
      <c r="N227" s="34"/>
      <c r="O227" s="34"/>
      <c r="P227" s="34">
        <f>IF(SUM(D227:O227)=0,"0",AVERAGEIF(D227:O227,"&lt;&gt;0",D227:O227))</f>
      </c>
      <c r="Q227" s="38"/>
    </row>
    <row r="228">
      <c r="A228" s="34">
        <v>226</v>
      </c>
      <c r="B228" s="40" t="str">
        <v>广西</v>
      </c>
      <c r="C228" s="39" t="str">
        <v>上网环节线损电价</v>
      </c>
      <c r="D228" s="34">
        <f>'分表2-2026上网环节线损'!C30</f>
      </c>
      <c r="E228" s="34">
        <f>'分表2-2026上网环节线损'!D30</f>
      </c>
      <c r="F228" s="34">
        <f>'分表2-2026上网环节线损'!E30</f>
      </c>
      <c r="G228" s="34">
        <f>'分表2-2026上网环节线损'!F30</f>
      </c>
      <c r="H228" s="34">
        <f>'分表2-2026上网环节线损'!G30</f>
      </c>
      <c r="I228" s="34"/>
      <c r="J228" s="34"/>
      <c r="K228" s="34"/>
      <c r="L228" s="34"/>
      <c r="M228" s="34"/>
      <c r="N228" s="34"/>
      <c r="O228" s="34"/>
      <c r="P228" s="34">
        <f>IF(SUM(D228:O228)=0,"0",AVERAGEIF(D228:O228,"&lt;&gt;0",D228:O228))</f>
      </c>
      <c r="Q228" s="38"/>
    </row>
    <row r="229">
      <c r="A229" s="34">
        <v>227</v>
      </c>
      <c r="B229" s="40" t="str">
        <v>广西</v>
      </c>
      <c r="C229" s="39" t="str">
        <v>电度输配电价</v>
      </c>
      <c r="D229" s="34" cm="1">
        <f t="array" ref="D229:D229">_xlfn.XLOOKUP($C$1,'分表4-电度输配电价'!$C226：'分表4-电度输配电价'!$C233&amp;'分表4-电度输配电价'!$D226：'分表4-电度输配电价'!$D233,'分表4-电度输配电价'!$E226：'分表4-电度输配电价'!$E233)</f>
      </c>
      <c r="E229" s="34" cm="1">
        <f t="array" ref="E229:E229">_xlfn.XLOOKUP($C$1,'分表4-电度输配电价'!$C226：'分表4-电度输配电价'!$C233&amp;'分表4-电度输配电价'!$D226：'分表4-电度输配电价'!$D233,'分表4-电度输配电价'!$E226：'分表4-电度输配电价'!$E233)</f>
      </c>
      <c r="F229" s="34" cm="1">
        <f t="array" ref="F229:F229">_xlfn.XLOOKUP($C$1,'分表4-电度输配电价'!$C226：'分表4-电度输配电价'!$C233&amp;'分表4-电度输配电价'!$D226：'分表4-电度输配电价'!$D233,'分表4-电度输配电价'!$E226：'分表4-电度输配电价'!$E233)</f>
      </c>
      <c r="G229" s="34" cm="1">
        <f t="array" ref="G229:G229">_xlfn.XLOOKUP($C$1,'分表4-电度输配电价'!$C226：'分表4-电度输配电价'!$C233&amp;'分表4-电度输配电价'!$D226：'分表4-电度输配电价'!$D233,'分表4-电度输配电价'!$E226：'分表4-电度输配电价'!$E233)</f>
      </c>
      <c r="H229" s="34" cm="1">
        <f t="array" ref="H229:H229">_xlfn.XLOOKUP($C$1,'分表4-电度输配电价'!$C226：'分表4-电度输配电价'!$C233&amp;'分表4-电度输配电价'!$D226：'分表4-电度输配电价'!$D233,'分表4-电度输配电价'!$E226：'分表4-电度输配电价'!$E233)</f>
      </c>
      <c r="I229" s="34"/>
      <c r="J229" s="34"/>
      <c r="K229" s="34"/>
      <c r="L229" s="34"/>
      <c r="M229" s="34"/>
      <c r="N229" s="34"/>
      <c r="O229" s="34"/>
      <c r="P229" s="34">
        <f>IF(SUM(D229:O229)=0,"0",AVERAGEIF(D229:O229,"&lt;&gt;0",D229:O229))</f>
      </c>
      <c r="Q229" s="38"/>
    </row>
    <row r="230">
      <c r="A230" s="34">
        <v>228</v>
      </c>
      <c r="B230" s="40" t="str">
        <v>广西</v>
      </c>
      <c r="C230" s="39" t="str">
        <v>政府性基金及附加</v>
      </c>
      <c r="D230" s="34" cm="1">
        <f t="array" ref="D230:D230">_xlfn.XLOOKUP($B$230,'分表5-政府性基金及附加'!$B$2：'分表5-政府性基金及附加'!$B$199,'分表5-政府性基金及附加'!$D$2：'分表5-政府性基金及附加'!$D$199)</f>
      </c>
      <c r="E230" s="34" cm="1">
        <f t="array" ref="E230:E230">_xlfn.XLOOKUP($B$230,'分表5-政府性基金及附加'!$B$2：'分表5-政府性基金及附加'!$B$199,'分表5-政府性基金及附加'!$D$2：'分表5-政府性基金及附加'!$D$199)</f>
      </c>
      <c r="F230" s="34" cm="1">
        <f t="array" ref="F230:F230">_xlfn.XLOOKUP($B$230,'分表5-政府性基金及附加'!$B$2：'分表5-政府性基金及附加'!$B$199,'分表5-政府性基金及附加'!$D$2：'分表5-政府性基金及附加'!$D$199)</f>
      </c>
      <c r="G230" s="34" cm="1">
        <f t="array" ref="G230:G230">_xlfn.XLOOKUP($B$230,'分表5-政府性基金及附加'!$B$2：'分表5-政府性基金及附加'!$B$199,'分表5-政府性基金及附加'!$D$2：'分表5-政府性基金及附加'!$D$199)</f>
      </c>
      <c r="H230" s="34" cm="1">
        <f t="array" ref="H230:H230">_xlfn.XLOOKUP($B$230,'分表5-政府性基金及附加'!$B$2：'分表5-政府性基金及附加'!$B$199,'分表5-政府性基金及附加'!$D$2：'分表5-政府性基金及附加'!$D$199)</f>
      </c>
      <c r="I230" s="34"/>
      <c r="J230" s="34"/>
      <c r="K230" s="34"/>
      <c r="L230" s="34"/>
      <c r="M230" s="34"/>
      <c r="N230" s="34"/>
      <c r="O230" s="34"/>
      <c r="P230" s="34">
        <f>IF(SUM(D230:O230)=0,"0",AVERAGEIF(D230:O230,"&lt;&gt;0",D230:O230))</f>
      </c>
      <c r="Q230" s="38"/>
    </row>
    <row r="231">
      <c r="A231" s="34">
        <v>229</v>
      </c>
      <c r="B231" s="40" t="str">
        <v>广西</v>
      </c>
      <c r="C231" s="39" t="str">
        <v>系统运行费折价</v>
      </c>
      <c r="D231" s="34">
        <f>'分表3-2026系统运行费'!ND2</f>
      </c>
      <c r="E231" s="34">
        <f>'分表3-2026系统运行费'!NE2</f>
      </c>
      <c r="F231" s="34">
        <f>'分表3-2026系统运行费'!NF2</f>
      </c>
      <c r="G231" s="34">
        <f>'分表3-2026系统运行费'!NG2</f>
      </c>
      <c r="H231" s="34">
        <f>'分表3-2026系统运行费'!NH2</f>
      </c>
      <c r="I231" s="34"/>
      <c r="J231" s="34"/>
      <c r="K231" s="34"/>
      <c r="L231" s="34"/>
      <c r="M231" s="34"/>
      <c r="N231" s="34"/>
      <c r="O231" s="34"/>
      <c r="P231" s="34">
        <f>IF(SUM(D231:O231)=0,"0",AVERAGEIF(D231:O231,"&lt;&gt;0",D231:O231))</f>
      </c>
      <c r="Q231" s="38"/>
    </row>
    <row r="232">
      <c r="A232" s="34">
        <v>230</v>
      </c>
      <c r="B232" s="40" t="str">
        <v>广西</v>
      </c>
      <c r="C232" s="39" t="str">
        <v>综合平段电价--电网代购</v>
      </c>
      <c r="D232" s="34">
        <f>IF(D229="/","/",SUM(D227:D231))</f>
      </c>
      <c r="E232" s="34">
        <f>IF(E229="/","/",SUM(E227:E231))</f>
      </c>
      <c r="F232" s="34">
        <f>IF(F229="/","/",SUM(F227:F231))</f>
      </c>
      <c r="G232" s="34">
        <f>IF(G229="/","/",SUM(G227:G231))</f>
      </c>
      <c r="H232" s="34">
        <f>IF(H229="/","/",SUM(H227:H231))</f>
      </c>
      <c r="I232" s="34"/>
      <c r="J232" s="34"/>
      <c r="K232" s="34"/>
      <c r="L232" s="34"/>
      <c r="M232" s="34"/>
      <c r="N232" s="34"/>
      <c r="O232" s="34"/>
      <c r="P232" s="34">
        <f>IF(SUM(D232:O232)=0,"0",AVERAGEIF(D232:O232,"&lt;&gt;0",D232:O232))</f>
      </c>
      <c r="Q232" s="38"/>
    </row>
    <row r="233">
      <c r="A233" s="34">
        <v>231</v>
      </c>
      <c r="B233" s="40" t="str">
        <v>广西</v>
      </c>
      <c r="C233" s="39" t="str">
        <v>入市交易购电价格</v>
      </c>
      <c r="D233" s="34">
        <f>'分表7-2026交易价格'!D30</f>
      </c>
      <c r="E233" s="34">
        <f>'分表7-2026交易价格'!E30</f>
      </c>
      <c r="F233" s="34">
        <f>'分表7-2026交易价格'!F30</f>
      </c>
      <c r="G233" s="34">
        <f>'分表7-2026交易价格'!G30</f>
      </c>
      <c r="H233" s="34">
        <f>'分表7-2026交易价格'!H30</f>
      </c>
      <c r="I233" s="34"/>
      <c r="J233" s="34"/>
      <c r="K233" s="34"/>
      <c r="L233" s="34"/>
      <c r="M233" s="34"/>
      <c r="N233" s="34"/>
      <c r="O233" s="34"/>
      <c r="P233" s="34">
        <f>IF(SUM(D233:O233)=0,"0",AVERAGEIF(D233:O233,"&lt;&gt;0",D233:O233))</f>
      </c>
      <c r="Q233" s="38"/>
    </row>
    <row r="234">
      <c r="A234" s="34">
        <v>232</v>
      </c>
      <c r="B234" s="40" t="str">
        <v>广西</v>
      </c>
      <c r="C234" s="39" t="str">
        <v>综合平段电价--入市交易</v>
      </c>
      <c r="D234" s="34">
        <f>IF(D229="/","/",IF(D233&gt;0,D233+SUM(D228:D231),"/"))</f>
      </c>
      <c r="E234" s="34">
        <f>IF(E229="/","/",IF(E233&gt;0,E233+SUM(E228:E231),"/"))</f>
      </c>
      <c r="F234" s="34">
        <f>IF(F229="/","/",IF(F233&gt;0,F233+SUM(F228:F231),"/"))</f>
      </c>
      <c r="G234" s="34">
        <f>IF(G229="/","/",IF(G233&gt;0,G233+SUM(G228:G231),"/"))</f>
      </c>
      <c r="H234" s="34">
        <f>IF(H229="/","/",IF(H233&gt;0,H233+SUM(H228:H231),"/"))</f>
      </c>
      <c r="I234" s="34"/>
      <c r="J234" s="34"/>
      <c r="K234" s="34"/>
      <c r="L234" s="34"/>
      <c r="M234" s="34"/>
      <c r="N234" s="34"/>
      <c r="O234" s="34"/>
      <c r="P234" s="34">
        <f>IF(SUM(D234:O234)=0,"0",AVERAGEIF(D234:O234,"&lt;&gt;0",D234:O234))</f>
      </c>
      <c r="Q234" s="38"/>
    </row>
    <row r="235">
      <c r="A235" s="34">
        <v>233</v>
      </c>
      <c r="B235" s="31" t="str">
        <v>云南</v>
      </c>
      <c r="C235" s="37" t="str">
        <v>代理购电价格</v>
      </c>
      <c r="D235" s="36">
        <f>'分表1-2026电网代购价'!D92</f>
      </c>
      <c r="E235" s="36">
        <f>'分表1-2026电网代购价'!E92</f>
      </c>
      <c r="F235" s="36">
        <f>'分表1-2026电网代购价'!F92</f>
      </c>
      <c r="G235" s="36">
        <f>'分表1-2026电网代购价'!G92</f>
      </c>
      <c r="H235" s="36">
        <f>'分表1-2026电网代购价'!H92</f>
      </c>
      <c r="I235" s="36"/>
      <c r="J235" s="36"/>
      <c r="K235" s="36"/>
      <c r="L235" s="36"/>
      <c r="M235" s="36"/>
      <c r="N235" s="36"/>
      <c r="O235" s="36"/>
      <c r="P235" s="36">
        <f>IF(SUM(D235:O235)=0,"0",AVERAGEIF(D235:O235,"&lt;&gt;0",D235:O235))</f>
      </c>
      <c r="Q235" s="35"/>
    </row>
    <row r="236">
      <c r="A236" s="34">
        <v>234</v>
      </c>
      <c r="B236" s="31" t="str">
        <v>云南</v>
      </c>
      <c r="C236" s="37" t="str">
        <v>上网环节线损电价</v>
      </c>
      <c r="D236" s="32">
        <f>'分表2-2026上网环节线损'!C31</f>
      </c>
      <c r="E236" s="32">
        <f>'分表2-2026上网环节线损'!D31</f>
      </c>
      <c r="F236" s="32">
        <f>'分表2-2026上网环节线损'!E31</f>
      </c>
      <c r="G236" s="32">
        <f>'分表2-2026上网环节线损'!F31</f>
      </c>
      <c r="H236" s="32">
        <f>'分表2-2026上网环节线损'!G31</f>
      </c>
      <c r="I236" s="32"/>
      <c r="J236" s="33"/>
      <c r="K236" s="32"/>
      <c r="L236" s="32"/>
      <c r="M236" s="32"/>
      <c r="N236" s="32"/>
      <c r="O236" s="32"/>
      <c r="P236" s="36">
        <f>IF(SUM(D236:O236)=0,"0",AVERAGEIF(D236:O236,"&lt;&gt;0",D236:O236))</f>
      </c>
      <c r="Q236" s="35"/>
    </row>
    <row r="237">
      <c r="A237" s="34">
        <v>235</v>
      </c>
      <c r="B237" s="31" t="str">
        <v>云南</v>
      </c>
      <c r="C237" s="37" t="str">
        <v>电度输配电价</v>
      </c>
      <c r="D237" s="36" cm="1">
        <f t="array" ref="D237:D237">_xlfn.XLOOKUP($C$1,'分表4-电度输配电价'!$C234：'分表4-电度输配电价'!$C241&amp;'分表4-电度输配电价'!$D234：'分表4-电度输配电价'!$D241,'分表4-电度输配电价'!$E234：'分表4-电度输配电价'!$E241)</f>
      </c>
      <c r="E237" s="36" cm="1">
        <f t="array" ref="E237:E237">_xlfn.XLOOKUP($C$1,'分表4-电度输配电价'!$C234：'分表4-电度输配电价'!$C241&amp;'分表4-电度输配电价'!$D234：'分表4-电度输配电价'!$D241,'分表4-电度输配电价'!$E234：'分表4-电度输配电价'!$E241)</f>
      </c>
      <c r="F237" s="36" cm="1">
        <f t="array" ref="F237:F237">_xlfn.XLOOKUP($C$1,'分表4-电度输配电价'!$C234：'分表4-电度输配电价'!$C241&amp;'分表4-电度输配电价'!$D234：'分表4-电度输配电价'!$D241,'分表4-电度输配电价'!$E234：'分表4-电度输配电价'!$E241)</f>
      </c>
      <c r="G237" s="36" cm="1">
        <f t="array" ref="G237:G237">_xlfn.XLOOKUP($C$1,'分表4-电度输配电价'!$C234：'分表4-电度输配电价'!$C241&amp;'分表4-电度输配电价'!$D234：'分表4-电度输配电价'!$D241,'分表4-电度输配电价'!$E234：'分表4-电度输配电价'!$E241)</f>
      </c>
      <c r="H237" s="36" cm="1">
        <f t="array" ref="H237:H237">_xlfn.XLOOKUP($C$1,'分表4-电度输配电价'!$C234：'分表4-电度输配电价'!$C241&amp;'分表4-电度输配电价'!$D234：'分表4-电度输配电价'!$D241,'分表4-电度输配电价'!$E234：'分表4-电度输配电价'!$E241)</f>
      </c>
      <c r="I237" s="32"/>
      <c r="J237" s="33"/>
      <c r="K237" s="32"/>
      <c r="L237" s="32"/>
      <c r="M237" s="32"/>
      <c r="N237" s="32"/>
      <c r="O237" s="32"/>
      <c r="P237" s="36">
        <f>IF(SUM(D237:O237)=0,"0",AVERAGEIF(D237:O237,"&lt;&gt;0",D237:O237))</f>
      </c>
      <c r="Q237" s="35"/>
    </row>
    <row r="238">
      <c r="A238" s="34">
        <v>236</v>
      </c>
      <c r="B238" s="31" t="str">
        <v>云南</v>
      </c>
      <c r="C238" s="37" t="str">
        <v>政府性基金及附加</v>
      </c>
      <c r="D238" s="36" cm="1">
        <f t="array" ref="D238:D238">_xlfn.XLOOKUP($B$238,'分表5-政府性基金及附加'!$B$2：'分表5-政府性基金及附加'!$B$199,'分表5-政府性基金及附加'!$D$2：'分表5-政府性基金及附加'!$D$199)</f>
      </c>
      <c r="E238" s="36" cm="1">
        <f t="array" ref="E238:E238">_xlfn.XLOOKUP($B$238,'分表5-政府性基金及附加'!$B$2：'分表5-政府性基金及附加'!$B$199,'分表5-政府性基金及附加'!$D$2：'分表5-政府性基金及附加'!$D$199)</f>
      </c>
      <c r="F238" s="36" cm="1">
        <f t="array" ref="F238:F238">_xlfn.XLOOKUP($B$238,'分表5-政府性基金及附加'!$B$2：'分表5-政府性基金及附加'!$B$199,'分表5-政府性基金及附加'!$D$2：'分表5-政府性基金及附加'!$D$199)</f>
      </c>
      <c r="G238" s="36" cm="1">
        <f t="array" ref="G238:G238">_xlfn.XLOOKUP($B$238,'分表5-政府性基金及附加'!$B$2：'分表5-政府性基金及附加'!$B$199,'分表5-政府性基金及附加'!$D$2：'分表5-政府性基金及附加'!$D$199)</f>
      </c>
      <c r="H238" s="36" cm="1">
        <f t="array" ref="H238:H238">_xlfn.XLOOKUP($B$238,'分表5-政府性基金及附加'!$B$2：'分表5-政府性基金及附加'!$B$199,'分表5-政府性基金及附加'!$D$2：'分表5-政府性基金及附加'!$D$199)</f>
      </c>
      <c r="I238" s="32"/>
      <c r="J238" s="33"/>
      <c r="K238" s="32"/>
      <c r="L238" s="32"/>
      <c r="M238" s="32"/>
      <c r="N238" s="32"/>
      <c r="O238" s="32"/>
      <c r="P238" s="36">
        <f>IF(SUM(D238:O238)=0,"0",AVERAGEIF(D238:O238,"&lt;&gt;0",D238:O238))</f>
      </c>
      <c r="Q238" s="35"/>
    </row>
    <row r="239">
      <c r="A239" s="34">
        <v>237</v>
      </c>
      <c r="B239" s="31" t="str">
        <v>云南</v>
      </c>
      <c r="C239" s="37" t="str">
        <v>系统运行费折价</v>
      </c>
      <c r="D239" s="32">
        <f>'分表3-2026系统运行费'!NQ2</f>
      </c>
      <c r="E239" s="32">
        <f>'分表3-2026系统运行费'!NR2</f>
      </c>
      <c r="F239" s="32">
        <f>'分表3-2026系统运行费'!NS2</f>
      </c>
      <c r="G239" s="32">
        <f>'分表3-2026系统运行费'!NT2</f>
      </c>
      <c r="H239" s="32">
        <f>'分表3-2026系统运行费'!NU2</f>
      </c>
      <c r="I239" s="32"/>
      <c r="J239" s="33"/>
      <c r="K239" s="32"/>
      <c r="L239" s="32"/>
      <c r="M239" s="32"/>
      <c r="N239" s="32"/>
      <c r="O239" s="32"/>
      <c r="P239" s="36">
        <f>IF(SUM(D239:O239)=0,"0",AVERAGEIF(D239:O239,"&lt;&gt;0",D239:O239))</f>
      </c>
      <c r="Q239" s="35"/>
    </row>
    <row r="240">
      <c r="A240" s="34">
        <v>238</v>
      </c>
      <c r="B240" s="31" t="str">
        <v>云南</v>
      </c>
      <c r="C240" s="37" t="str">
        <v>综合平段电价--电网代购</v>
      </c>
      <c r="D240" s="36">
        <f>IF(D237="/","/",SUM(D235:D239))</f>
      </c>
      <c r="E240" s="36">
        <f>IF(E237="/","/",SUM(E235:E239))</f>
      </c>
      <c r="F240" s="36">
        <f>IF(F237="/","/",SUM(F235:F239))</f>
      </c>
      <c r="G240" s="36">
        <f>IF(G237="/","/",SUM(G235:G239))</f>
      </c>
      <c r="H240" s="36">
        <f>IF(H237="/","/",SUM(H235:H239))</f>
      </c>
      <c r="I240" s="32"/>
      <c r="J240" s="33"/>
      <c r="K240" s="32"/>
      <c r="L240" s="32"/>
      <c r="M240" s="32"/>
      <c r="N240" s="32"/>
      <c r="O240" s="32"/>
      <c r="P240" s="36">
        <f>IF(SUM(D240:O240)=0,"0",AVERAGEIF(D240:O240,"&lt;&gt;0",D240:O240))</f>
      </c>
      <c r="Q240" s="35"/>
    </row>
    <row r="241">
      <c r="A241" s="34">
        <v>239</v>
      </c>
      <c r="B241" s="31" t="str">
        <v>云南</v>
      </c>
      <c r="C241" s="37" t="str">
        <v>入市交易购电价格</v>
      </c>
      <c r="D241" s="32">
        <f>'分表7-2026交易价格'!D31</f>
      </c>
      <c r="E241" s="32">
        <f>'分表7-2026交易价格'!E31</f>
      </c>
      <c r="F241" s="32">
        <f>'分表7-2026交易价格'!F31</f>
      </c>
      <c r="G241" s="32">
        <f>'分表7-2026交易价格'!G31</f>
      </c>
      <c r="H241" s="32">
        <f>'分表7-2026交易价格'!H31</f>
      </c>
      <c r="I241" s="32"/>
      <c r="J241" s="33"/>
      <c r="K241" s="32"/>
      <c r="L241" s="32"/>
      <c r="M241" s="32"/>
      <c r="N241" s="32"/>
      <c r="O241" s="32"/>
      <c r="P241" s="36">
        <f>IF(SUM(D241:O241)=0,"0",AVERAGEIF(D241:O241,"&lt;&gt;0",D241:O241))</f>
      </c>
      <c r="Q241" s="35"/>
    </row>
    <row r="242">
      <c r="A242" s="34">
        <v>240</v>
      </c>
      <c r="B242" s="31" t="str">
        <v>云南</v>
      </c>
      <c r="C242" s="37" t="str">
        <v>综合平段电价--入市交易</v>
      </c>
      <c r="D242" s="36">
        <f>IF(D237="/","/",IF(D241&gt;0,D241+SUM(D236:D239),"/"))</f>
      </c>
      <c r="E242" s="36">
        <f>IF(E237="/","/",IF(E241&gt;0,E241+SUM(E236:E239),"/"))</f>
      </c>
      <c r="F242" s="36">
        <f>IF(F237="/","/",IF(F241&gt;0,F241+SUM(F236:F239),"/"))</f>
      </c>
      <c r="G242" s="36">
        <f>IF(G237="/","/",IF(G241&gt;0,G241+SUM(G236:G239),"/"))</f>
      </c>
      <c r="H242" s="36">
        <f>IF(H237="/","/",IF(H241&gt;0,H241+SUM(H236:H239),"/"))</f>
      </c>
      <c r="I242" s="32"/>
      <c r="J242" s="33"/>
      <c r="K242" s="32"/>
      <c r="L242" s="32"/>
      <c r="M242" s="32"/>
      <c r="N242" s="32"/>
      <c r="O242" s="32"/>
      <c r="P242" s="36">
        <f>IF(SUM(D242:O242)=0,"0",AVERAGEIF(D242:O242,"&lt;&gt;0",D242:O242))</f>
      </c>
      <c r="Q242" s="35"/>
    </row>
    <row r="243">
      <c r="A243" s="34">
        <v>241</v>
      </c>
      <c r="B243" s="40" t="str">
        <v>贵州</v>
      </c>
      <c r="C243" s="39" t="str">
        <v>代理购电价格</v>
      </c>
      <c r="D243" s="34">
        <f>'分表1-2026电网代购价'!D95</f>
      </c>
      <c r="E243" s="34">
        <f>'分表1-2026电网代购价'!E95</f>
      </c>
      <c r="F243" s="34">
        <f>'分表1-2026电网代购价'!F95</f>
      </c>
      <c r="G243" s="34">
        <f>'分表1-2026电网代购价'!G95</f>
      </c>
      <c r="H243" s="34">
        <f>'分表1-2026电网代购价'!H95</f>
      </c>
      <c r="I243" s="34"/>
      <c r="J243" s="34"/>
      <c r="K243" s="34"/>
      <c r="L243" s="34"/>
      <c r="M243" s="34"/>
      <c r="N243" s="34"/>
      <c r="O243" s="34"/>
      <c r="P243" s="34">
        <f>IF(SUM(D243:O243)=0,"0",AVERAGEIF(D243:O243,"&lt;&gt;0",D243:O243))</f>
      </c>
      <c r="Q243" s="38"/>
    </row>
    <row r="244">
      <c r="A244" s="34">
        <v>242</v>
      </c>
      <c r="B244" s="40" t="str">
        <v>贵州</v>
      </c>
      <c r="C244" s="39" t="str">
        <v>上网环节线损电价</v>
      </c>
      <c r="D244" s="34">
        <f>'分表2-2026上网环节线损'!C32</f>
      </c>
      <c r="E244" s="34">
        <f>'分表2-2026上网环节线损'!D32</f>
      </c>
      <c r="F244" s="34">
        <f>'分表2-2026上网环节线损'!E32</f>
      </c>
      <c r="G244" s="34">
        <f>'分表2-2026上网环节线损'!F32</f>
      </c>
      <c r="H244" s="34">
        <f>'分表2-2026上网环节线损'!G32</f>
      </c>
      <c r="I244" s="34"/>
      <c r="J244" s="34"/>
      <c r="K244" s="34"/>
      <c r="L244" s="34"/>
      <c r="M244" s="34"/>
      <c r="N244" s="34"/>
      <c r="O244" s="34"/>
      <c r="P244" s="34">
        <f>IF(SUM(D244:O244)=0,"0",AVERAGEIF(D244:O244,"&lt;&gt;0",D244:O244))</f>
      </c>
      <c r="Q244" s="38"/>
    </row>
    <row r="245">
      <c r="A245" s="34">
        <v>243</v>
      </c>
      <c r="B245" s="40" t="str">
        <v>贵州</v>
      </c>
      <c r="C245" s="39" t="str">
        <v>电度输配电价</v>
      </c>
      <c r="D245" s="34" cm="1">
        <f t="array" ref="D245:D245">_xlfn.XLOOKUP($C$1,'分表4-电度输配电价'!$C242：'分表4-电度输配电价'!$C249&amp;'分表4-电度输配电价'!$D242：'分表4-电度输配电价'!$D249,'分表4-电度输配电价'!$E242：'分表4-电度输配电价'!$E249)</f>
      </c>
      <c r="E245" s="34" cm="1">
        <f t="array" ref="E245:E245">_xlfn.XLOOKUP($C$1,'分表4-电度输配电价'!$C242：'分表4-电度输配电价'!$C249&amp;'分表4-电度输配电价'!$D242：'分表4-电度输配电价'!$D249,'分表4-电度输配电价'!$E242：'分表4-电度输配电价'!$E249)</f>
      </c>
      <c r="F245" s="34" cm="1">
        <f t="array" ref="F245:F245">_xlfn.XLOOKUP($C$1,'分表4-电度输配电价'!$C242：'分表4-电度输配电价'!$C249&amp;'分表4-电度输配电价'!$D242：'分表4-电度输配电价'!$D249,'分表4-电度输配电价'!$E242：'分表4-电度输配电价'!$E249)</f>
      </c>
      <c r="G245" s="34" cm="1">
        <f t="array" ref="G245:G245">_xlfn.XLOOKUP($C$1,'分表4-电度输配电价'!$C242：'分表4-电度输配电价'!$C249&amp;'分表4-电度输配电价'!$D242：'分表4-电度输配电价'!$D249,'分表4-电度输配电价'!$E242：'分表4-电度输配电价'!$E249)</f>
      </c>
      <c r="H245" s="34" cm="1">
        <f t="array" ref="H245:H245">_xlfn.XLOOKUP($C$1,'分表4-电度输配电价'!$C242：'分表4-电度输配电价'!$C249&amp;'分表4-电度输配电价'!$D242：'分表4-电度输配电价'!$D249,'分表4-电度输配电价'!$E242：'分表4-电度输配电价'!$E249)</f>
      </c>
      <c r="I245" s="34"/>
      <c r="J245" s="34"/>
      <c r="K245" s="34"/>
      <c r="L245" s="34"/>
      <c r="M245" s="34"/>
      <c r="N245" s="34"/>
      <c r="O245" s="34"/>
      <c r="P245" s="34">
        <f>IF(SUM(D245:O245)=0,"0",AVERAGEIF(D245:O245,"&lt;&gt;0",D245:O245))</f>
      </c>
      <c r="Q245" s="38"/>
    </row>
    <row r="246">
      <c r="A246" s="34">
        <v>244</v>
      </c>
      <c r="B246" s="40" t="str">
        <v>贵州</v>
      </c>
      <c r="C246" s="39" t="str">
        <v>政府性基金及附加</v>
      </c>
      <c r="D246" s="34" cm="1">
        <f t="array" ref="D246:D246">_xlfn.XLOOKUP($B$246,'分表5-政府性基金及附加'!$B$2：'分表5-政府性基金及附加'!$B$199,'分表5-政府性基金及附加'!$D$2：'分表5-政府性基金及附加'!$D$199)</f>
      </c>
      <c r="E246" s="34" cm="1">
        <f t="array" ref="E246:E246">_xlfn.XLOOKUP($B$246,'分表5-政府性基金及附加'!$B$2：'分表5-政府性基金及附加'!$B$199,'分表5-政府性基金及附加'!$D$2：'分表5-政府性基金及附加'!$D$199)</f>
      </c>
      <c r="F246" s="34" cm="1">
        <f t="array" ref="F246:F246">_xlfn.XLOOKUP($B$246,'分表5-政府性基金及附加'!$B$2：'分表5-政府性基金及附加'!$B$199,'分表5-政府性基金及附加'!$D$2：'分表5-政府性基金及附加'!$D$199)</f>
      </c>
      <c r="G246" s="34" cm="1">
        <f t="array" ref="G246:G246">_xlfn.XLOOKUP($B$246,'分表5-政府性基金及附加'!$B$2：'分表5-政府性基金及附加'!$B$199,'分表5-政府性基金及附加'!$D$2：'分表5-政府性基金及附加'!$D$199)</f>
      </c>
      <c r="H246" s="34" cm="1">
        <f t="array" ref="H246:H246">_xlfn.XLOOKUP($B$246,'分表5-政府性基金及附加'!$B$2：'分表5-政府性基金及附加'!$B$199,'分表5-政府性基金及附加'!$D$2：'分表5-政府性基金及附加'!$D$199)</f>
      </c>
      <c r="I246" s="34"/>
      <c r="J246" s="34"/>
      <c r="K246" s="34"/>
      <c r="L246" s="34"/>
      <c r="M246" s="34"/>
      <c r="N246" s="34"/>
      <c r="O246" s="34"/>
      <c r="P246" s="34">
        <f>IF(SUM(D246:O246)=0,"0",AVERAGEIF(D246:O246,"&lt;&gt;0",D246:O246))</f>
      </c>
      <c r="Q246" s="38"/>
    </row>
    <row r="247">
      <c r="A247" s="34">
        <v>245</v>
      </c>
      <c r="B247" s="40" t="str">
        <v>贵州</v>
      </c>
      <c r="C247" s="39" t="str">
        <v>系统运行费折价</v>
      </c>
      <c r="D247" s="34">
        <f>'分表3-2026系统运行费'!OD2</f>
      </c>
      <c r="E247" s="34">
        <f>'分表3-2026系统运行费'!OE2</f>
      </c>
      <c r="F247" s="34">
        <f>'分表3-2026系统运行费'!OF2</f>
      </c>
      <c r="G247" s="34">
        <f>'分表3-2026系统运行费'!OG2</f>
      </c>
      <c r="H247" s="34">
        <f>'分表3-2026系统运行费'!OH2</f>
      </c>
      <c r="I247" s="34"/>
      <c r="J247" s="34"/>
      <c r="K247" s="34"/>
      <c r="L247" s="34"/>
      <c r="M247" s="34"/>
      <c r="N247" s="34"/>
      <c r="O247" s="34"/>
      <c r="P247" s="34">
        <f>IF(SUM(D247:O247)=0,"0",AVERAGEIF(D247:O247,"&lt;&gt;0",D247:O247))</f>
      </c>
      <c r="Q247" s="38"/>
    </row>
    <row r="248">
      <c r="A248" s="34">
        <v>246</v>
      </c>
      <c r="B248" s="40" t="str">
        <v>贵州</v>
      </c>
      <c r="C248" s="39" t="str">
        <v>综合平段电价--电网代购</v>
      </c>
      <c r="D248" s="34">
        <f>IF(D245="/","/",SUM(D243:D247))</f>
      </c>
      <c r="E248" s="34">
        <f>IF(E245="/","/",SUM(E243:E247))</f>
      </c>
      <c r="F248" s="34">
        <f>IF(F245="/","/",SUM(F243:F247))</f>
      </c>
      <c r="G248" s="34">
        <f>IF(G245="/","/",SUM(G243:G247))</f>
      </c>
      <c r="H248" s="34">
        <f>IF(H245="/","/",SUM(H243:H247))</f>
      </c>
      <c r="I248" s="34"/>
      <c r="J248" s="34"/>
      <c r="K248" s="34"/>
      <c r="L248" s="34"/>
      <c r="M248" s="34"/>
      <c r="N248" s="34"/>
      <c r="O248" s="34"/>
      <c r="P248" s="34">
        <f>IF(SUM(D248:O248)=0,"0",AVERAGEIF(D248:O248,"&lt;&gt;0",D248:O248))</f>
      </c>
      <c r="Q248" s="38"/>
    </row>
    <row r="249">
      <c r="A249" s="34">
        <v>247</v>
      </c>
      <c r="B249" s="40" t="str">
        <v>贵州</v>
      </c>
      <c r="C249" s="39" t="str">
        <v>入市交易购电价格</v>
      </c>
      <c r="D249" s="34">
        <f>'分表7-2026交易价格'!D32</f>
      </c>
      <c r="E249" s="34">
        <f>'分表7-2026交易价格'!E32</f>
      </c>
      <c r="F249" s="34">
        <f>'分表7-2026交易价格'!F32</f>
      </c>
      <c r="G249" s="34">
        <f>'分表7-2026交易价格'!G32</f>
      </c>
      <c r="H249" s="34">
        <f>'分表7-2026交易价格'!H32</f>
      </c>
      <c r="I249" s="34"/>
      <c r="J249" s="34"/>
      <c r="K249" s="34"/>
      <c r="L249" s="34"/>
      <c r="M249" s="34"/>
      <c r="N249" s="34"/>
      <c r="O249" s="34"/>
      <c r="P249" s="34">
        <f>IF(SUM(D249:O249)=0,"0",AVERAGEIF(D249:O249,"&lt;&gt;0",D249:O249))</f>
      </c>
      <c r="Q249" s="38"/>
    </row>
    <row r="250">
      <c r="A250" s="34">
        <v>248</v>
      </c>
      <c r="B250" s="40" t="str">
        <v>贵州</v>
      </c>
      <c r="C250" s="39" t="str">
        <v>综合平段电价--入市交易</v>
      </c>
      <c r="D250" s="34">
        <f>IF(D245="/","/",IF(D249&gt;0,D249+SUM(D244:D247),"/"))</f>
      </c>
      <c r="E250" s="34">
        <f>IF(E245="/","/",IF(E249&gt;0,E249+SUM(E244:E247),"/"))</f>
      </c>
      <c r="F250" s="34">
        <f>IF(F245="/","/",IF(F249&gt;0,F249+SUM(F244:F247),"/"))</f>
      </c>
      <c r="G250" s="34">
        <f>IF(G245="/","/",IF(G249&gt;0,G249+SUM(G244:G247),"/"))</f>
      </c>
      <c r="H250" s="34">
        <f>IF(H245="/","/",IF(H249&gt;0,H249+SUM(H244:H247),"/"))</f>
      </c>
      <c r="I250" s="34"/>
      <c r="J250" s="34"/>
      <c r="K250" s="34"/>
      <c r="L250" s="34"/>
      <c r="M250" s="34"/>
      <c r="N250" s="34"/>
      <c r="O250" s="34"/>
      <c r="P250" s="34">
        <f>IF(SUM(D250:O250)=0,"0",AVERAGEIF(D250:O250,"&lt;&gt;0",D250:O250))</f>
      </c>
      <c r="Q250" s="38"/>
    </row>
    <row r="251">
      <c r="A251" s="34">
        <v>249</v>
      </c>
      <c r="B251" s="31" t="str">
        <v>海南</v>
      </c>
      <c r="C251" s="37" t="str">
        <v>代理购电价格</v>
      </c>
      <c r="D251" s="36">
        <f>'分表1-2026电网代购价'!D98</f>
      </c>
      <c r="E251" s="36">
        <f>'分表1-2026电网代购价'!E98</f>
      </c>
      <c r="F251" s="36">
        <f>'分表1-2026电网代购价'!F98</f>
      </c>
      <c r="G251" s="36">
        <f>'分表1-2026电网代购价'!G98</f>
      </c>
      <c r="H251" s="36">
        <f>'分表1-2026电网代购价'!H98</f>
      </c>
      <c r="I251" s="36"/>
      <c r="J251" s="36"/>
      <c r="K251" s="36"/>
      <c r="L251" s="36"/>
      <c r="M251" s="36"/>
      <c r="N251" s="36"/>
      <c r="O251" s="36"/>
      <c r="P251" s="36">
        <f>IF(SUM(D251:O251)=0,"0",AVERAGEIF(D251:O251,"&lt;&gt;0",D251:O251))</f>
      </c>
      <c r="Q251" s="35"/>
    </row>
    <row r="252">
      <c r="A252" s="34">
        <v>250</v>
      </c>
      <c r="B252" s="31" t="str">
        <v>海南</v>
      </c>
      <c r="C252" s="37" t="str">
        <v>上网环节线损电价</v>
      </c>
      <c r="D252" s="32">
        <f>'分表2-2026上网环节线损'!C33</f>
      </c>
      <c r="E252" s="32">
        <f>'分表2-2026上网环节线损'!D33</f>
      </c>
      <c r="F252" s="32">
        <f>'分表2-2026上网环节线损'!E33</f>
      </c>
      <c r="G252" s="32">
        <f>'分表2-2026上网环节线损'!F33</f>
      </c>
      <c r="H252" s="32">
        <f>'分表2-2026上网环节线损'!G33</f>
      </c>
      <c r="I252" s="32"/>
      <c r="J252" s="33"/>
      <c r="K252" s="32"/>
      <c r="L252" s="32"/>
      <c r="M252" s="32"/>
      <c r="N252" s="32"/>
      <c r="O252" s="32"/>
      <c r="P252" s="36">
        <f>IF(SUM(D252:O252)=0,"0",AVERAGEIF(D252:O252,"&lt;&gt;0",D252:O252))</f>
      </c>
      <c r="Q252" s="35"/>
    </row>
    <row r="253">
      <c r="A253" s="34">
        <v>251</v>
      </c>
      <c r="B253" s="31" t="str">
        <v>海南</v>
      </c>
      <c r="C253" s="37" t="str">
        <v>电度输配电价</v>
      </c>
      <c r="D253" s="36" cm="1">
        <f t="array" ref="D253:D253">_xlfn.XLOOKUP($C$1,'分表4-电度输配电价'!$C250：'分表4-电度输配电价'!$C257&amp;'分表4-电度输配电价'!$D250：'分表4-电度输配电价'!$D257,'分表4-电度输配电价'!$E250：'分表4-电度输配电价'!$E257)</f>
      </c>
      <c r="E253" s="36" cm="1">
        <f t="array" ref="E253:E253">_xlfn.XLOOKUP($C$1,'分表4-电度输配电价'!$C250：'分表4-电度输配电价'!$C257&amp;'分表4-电度输配电价'!$D250：'分表4-电度输配电价'!$D257,'分表4-电度输配电价'!$E250：'分表4-电度输配电价'!$E257)</f>
      </c>
      <c r="F253" s="36" cm="1">
        <f t="array" ref="F253:F253">_xlfn.XLOOKUP($C$1,'分表4-电度输配电价'!$C250：'分表4-电度输配电价'!$C257&amp;'分表4-电度输配电价'!$D250：'分表4-电度输配电价'!$D257,'分表4-电度输配电价'!$E250：'分表4-电度输配电价'!$E257)</f>
      </c>
      <c r="G253" s="36" cm="1">
        <f t="array" ref="G253:G253">_xlfn.XLOOKUP($C$1,'分表4-电度输配电价'!$C250：'分表4-电度输配电价'!$C257&amp;'分表4-电度输配电价'!$D250：'分表4-电度输配电价'!$D257,'分表4-电度输配电价'!$E250：'分表4-电度输配电价'!$E257)</f>
      </c>
      <c r="H253" s="36" cm="1">
        <f t="array" ref="H253:H253">_xlfn.XLOOKUP($C$1,'分表4-电度输配电价'!$C250：'分表4-电度输配电价'!$C257&amp;'分表4-电度输配电价'!$D250：'分表4-电度输配电价'!$D257,'分表4-电度输配电价'!$E250：'分表4-电度输配电价'!$E257)</f>
      </c>
      <c r="I253" s="32"/>
      <c r="J253" s="33"/>
      <c r="K253" s="32"/>
      <c r="L253" s="32"/>
      <c r="M253" s="32"/>
      <c r="N253" s="32"/>
      <c r="O253" s="32"/>
      <c r="P253" s="36">
        <f>IF(SUM(D253:O253)=0,"0",AVERAGEIF(D253:O253,"&lt;&gt;0",D253:O253))</f>
      </c>
      <c r="Q253" s="35"/>
    </row>
    <row r="254">
      <c r="A254" s="34">
        <v>252</v>
      </c>
      <c r="B254" s="31" t="str">
        <v>海南</v>
      </c>
      <c r="C254" s="37" t="str">
        <v>政府性基金及附加</v>
      </c>
      <c r="D254" s="36" cm="1">
        <f t="array" ref="D254:D254">_xlfn.XLOOKUP($B$254,'分表5-政府性基金及附加'!$B$2：'分表5-政府性基金及附加'!$B$199,'分表5-政府性基金及附加'!$D$2：'分表5-政府性基金及附加'!$D$199)</f>
      </c>
      <c r="E254" s="36" cm="1">
        <f t="array" ref="E254:E254">_xlfn.XLOOKUP($B$254,'分表5-政府性基金及附加'!$B$2：'分表5-政府性基金及附加'!$B$199,'分表5-政府性基金及附加'!$D$2：'分表5-政府性基金及附加'!$D$199)</f>
      </c>
      <c r="F254" s="36" cm="1">
        <f t="array" ref="F254:F254">_xlfn.XLOOKUP($B$254,'分表5-政府性基金及附加'!$B$2：'分表5-政府性基金及附加'!$B$199,'分表5-政府性基金及附加'!$D$2：'分表5-政府性基金及附加'!$D$199)</f>
      </c>
      <c r="G254" s="36" cm="1">
        <f t="array" ref="G254:G254">_xlfn.XLOOKUP($B$254,'分表5-政府性基金及附加'!$B$2：'分表5-政府性基金及附加'!$B$199,'分表5-政府性基金及附加'!$D$2：'分表5-政府性基金及附加'!$D$199)</f>
      </c>
      <c r="H254" s="36" cm="1">
        <f t="array" ref="H254:H254">_xlfn.XLOOKUP($B$254,'分表5-政府性基金及附加'!$B$2：'分表5-政府性基金及附加'!$B$199,'分表5-政府性基金及附加'!$D$2：'分表5-政府性基金及附加'!$D$199)</f>
      </c>
      <c r="I254" s="32"/>
      <c r="J254" s="33"/>
      <c r="K254" s="32"/>
      <c r="L254" s="32"/>
      <c r="M254" s="32"/>
      <c r="N254" s="32"/>
      <c r="O254" s="32"/>
      <c r="P254" s="36">
        <f>IF(SUM(D254:O254)=0,"0",AVERAGEIF(D254:O254,"&lt;&gt;0",D254:O254))</f>
      </c>
      <c r="Q254" s="35"/>
    </row>
    <row r="255">
      <c r="A255" s="34">
        <v>253</v>
      </c>
      <c r="B255" s="31" t="str">
        <v>海南</v>
      </c>
      <c r="C255" s="37" t="str">
        <v>系统运行费折价</v>
      </c>
      <c r="D255" s="32">
        <f>'分表3-2026系统运行费'!OQ2</f>
      </c>
      <c r="E255" s="32">
        <f>'分表3-2026系统运行费'!OR2</f>
      </c>
      <c r="F255" s="32">
        <f>'分表3-2026系统运行费'!OS2</f>
      </c>
      <c r="G255" s="32">
        <f>'分表3-2026系统运行费'!OT2</f>
      </c>
      <c r="H255" s="32">
        <f>'分表3-2026系统运行费'!OU2</f>
      </c>
      <c r="I255" s="32"/>
      <c r="J255" s="33"/>
      <c r="K255" s="32"/>
      <c r="L255" s="32"/>
      <c r="M255" s="32"/>
      <c r="N255" s="32"/>
      <c r="O255" s="32"/>
      <c r="P255" s="36">
        <f>IF(SUM(D255:O255)=0,"0",AVERAGEIF(D255:O255,"&lt;&gt;0",D255:O255))</f>
      </c>
      <c r="Q255" s="35"/>
    </row>
    <row r="256">
      <c r="A256" s="34">
        <v>254</v>
      </c>
      <c r="B256" s="31" t="str">
        <v>海南</v>
      </c>
      <c r="C256" s="37" t="str">
        <v>综合平段电价--电网代购</v>
      </c>
      <c r="D256" s="36">
        <f>IF(D253="/","/",SUM(D251:D255))</f>
      </c>
      <c r="E256" s="36">
        <f>IF(E253="/","/",SUM(E251:E255))</f>
      </c>
      <c r="F256" s="36">
        <f>IF(F253="/","/",SUM(F251:F255))</f>
      </c>
      <c r="G256" s="36">
        <f>IF(G253="/","/",SUM(G251:G255))</f>
      </c>
      <c r="H256" s="36">
        <f>IF(H253="/","/",SUM(H251:H255))</f>
      </c>
      <c r="I256" s="32"/>
      <c r="J256" s="33"/>
      <c r="K256" s="32"/>
      <c r="L256" s="32"/>
      <c r="M256" s="32"/>
      <c r="N256" s="32"/>
      <c r="O256" s="32"/>
      <c r="P256" s="36">
        <f>IF(SUM(D256:O256)=0,"0",AVERAGEIF(D256:O256,"&lt;&gt;0",D256:O256))</f>
      </c>
      <c r="Q256" s="35"/>
    </row>
    <row r="257">
      <c r="A257" s="34">
        <v>255</v>
      </c>
      <c r="B257" s="31" t="str">
        <v>海南</v>
      </c>
      <c r="C257" s="37" t="str">
        <v>入市交易购电价格</v>
      </c>
      <c r="D257" s="32">
        <f>'分表7-2026交易价格'!D33</f>
      </c>
      <c r="E257" s="32">
        <f>'分表7-2026交易价格'!E33</f>
      </c>
      <c r="F257" s="32">
        <f>'分表7-2026交易价格'!F33</f>
      </c>
      <c r="G257" s="32">
        <f>'分表7-2026交易价格'!G33</f>
      </c>
      <c r="H257" s="32">
        <f>'分表7-2026交易价格'!H33</f>
      </c>
      <c r="I257" s="32"/>
      <c r="J257" s="33"/>
      <c r="K257" s="32"/>
      <c r="L257" s="32"/>
      <c r="M257" s="32"/>
      <c r="N257" s="32"/>
      <c r="O257" s="32"/>
      <c r="P257" s="36">
        <f>IF(SUM(D257:O257)=0,"0",AVERAGEIF(D257:O257,"&lt;&gt;0",D257:O257))</f>
      </c>
      <c r="Q257" s="35"/>
    </row>
    <row r="258">
      <c r="A258" s="34">
        <v>256</v>
      </c>
      <c r="B258" s="31" t="str">
        <v>海南</v>
      </c>
      <c r="C258" s="37" t="str">
        <v>综合平段电价--入市交易</v>
      </c>
      <c r="D258" s="36">
        <f>IF(D253="/","/",IF(D257&gt;0,D257+SUM(D252:D255),"/"))</f>
      </c>
      <c r="E258" s="36">
        <f>IF(E253="/","/",IF(E257&gt;0,E257+SUM(E252:E255),"/"))</f>
      </c>
      <c r="F258" s="36">
        <f>IF(F253="/","/",IF(F257&gt;0,F257+SUM(F252:F255),"/"))</f>
      </c>
      <c r="G258" s="36">
        <f>IF(G253="/","/",IF(G257&gt;0,G257+SUM(G252:G255),"/"))</f>
      </c>
      <c r="H258" s="36">
        <f>IF(H253="/","/",IF(H257&gt;0,H257+SUM(H252:H255),"/"))</f>
      </c>
      <c r="I258" s="32"/>
      <c r="J258" s="33"/>
      <c r="K258" s="32"/>
      <c r="L258" s="32"/>
      <c r="M258" s="32"/>
      <c r="N258" s="32"/>
      <c r="O258" s="32"/>
      <c r="P258" s="36">
        <f>IF(SUM(D258:O258)=0,"0",AVERAGEIF(D258:O258,"&lt;&gt;0",D258:O258))</f>
      </c>
      <c r="Q258" s="35"/>
    </row>
    <row r="259">
      <c r="A259" s="43"/>
      <c r="B259" s="45"/>
      <c r="C259" s="46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4"/>
    </row>
    <row r="260">
      <c r="A260" s="43"/>
      <c r="B260" s="45"/>
      <c r="C260" s="46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4"/>
    </row>
    <row r="261">
      <c r="A261" s="43"/>
      <c r="B261" s="45"/>
      <c r="C261" s="46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4"/>
    </row>
    <row r="262">
      <c r="A262" s="43"/>
      <c r="B262" s="45"/>
      <c r="C262" s="46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4"/>
    </row>
    <row r="263">
      <c r="A263" s="43"/>
      <c r="B263" s="45"/>
      <c r="C263" s="46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4"/>
    </row>
    <row r="264">
      <c r="A264" s="43"/>
      <c r="B264" s="45"/>
      <c r="C264" s="46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4"/>
    </row>
    <row r="265">
      <c r="A265" s="43"/>
      <c r="B265" s="45"/>
      <c r="C265" s="46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4"/>
    </row>
    <row r="266">
      <c r="A266" s="43"/>
      <c r="B266" s="45"/>
      <c r="C266" s="46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4"/>
    </row>
    <row r="267">
      <c r="A267" s="43"/>
      <c r="B267" s="45"/>
      <c r="C267" s="46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4"/>
    </row>
    <row r="268">
      <c r="A268" s="43"/>
      <c r="B268" s="45"/>
      <c r="C268" s="46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4"/>
    </row>
    <row r="269">
      <c r="A269" s="43"/>
      <c r="B269" s="45"/>
      <c r="C269" s="46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4"/>
    </row>
    <row r="270">
      <c r="A270" s="43"/>
      <c r="B270" s="45"/>
      <c r="C270" s="46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4"/>
    </row>
    <row r="271">
      <c r="A271" s="43"/>
      <c r="B271" s="45"/>
      <c r="C271" s="46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4"/>
    </row>
    <row r="272">
      <c r="A272" s="43"/>
      <c r="B272" s="45"/>
      <c r="C272" s="46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4"/>
    </row>
  </sheetData>
  <dataValidations count="1">
    <dataValidation allowBlank="true" errorStyle="stop" showErrorMessage="true" sqref="C1" type="list">
      <formula1>"单一制10kV,单一制35kV,单一制110kV,单一制220kV,两部制10kV,两部制35kV,两部制110kV,两部制220kV"</formula1>
    </dataValidation>
  </dataValidation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6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</cols>
  <sheetData>
    <row customHeight="true" ht="19" r="1">
      <c r="A1" s="12" t="str">
        <v>序号</v>
      </c>
      <c r="B1" s="51" t="str">
        <v>2026年代理购电价格</v>
      </c>
      <c r="C1" s="52" t="str">
        <v>省份</v>
      </c>
      <c r="D1" s="12" t="str">
        <v>1月</v>
      </c>
      <c r="E1" s="12" t="str">
        <v>2月</v>
      </c>
      <c r="F1" s="12" t="str">
        <v>3月</v>
      </c>
      <c r="G1" s="12" t="str">
        <v>4月</v>
      </c>
      <c r="H1" s="12" t="str">
        <v>5月</v>
      </c>
      <c r="I1" s="12" t="str">
        <v>6月</v>
      </c>
      <c r="J1" s="12" t="str">
        <v>7月</v>
      </c>
      <c r="K1" s="12" t="str">
        <v>8月</v>
      </c>
      <c r="L1" s="12" t="str">
        <v>9月</v>
      </c>
      <c r="M1" s="12" t="str">
        <v>10月</v>
      </c>
      <c r="N1" s="12" t="str">
        <v>11月</v>
      </c>
      <c r="O1" s="12" t="str">
        <v>12月</v>
      </c>
      <c r="P1" s="50" t="str">
        <v>年均</v>
      </c>
      <c r="Q1" s="50" t="str">
        <v>趋势图</v>
      </c>
    </row>
    <row r="2">
      <c r="A2" s="34">
        <v>1</v>
      </c>
      <c r="B2" s="39" t="str">
        <v>代理工商业购电价格</v>
      </c>
      <c r="C2" s="34" t="str">
        <v>北京</v>
      </c>
      <c r="D2" s="34">
        <f>D3+D4</f>
      </c>
      <c r="E2" s="34">
        <f>E3+E4</f>
      </c>
      <c r="F2" s="34">
        <f>F3+F4</f>
      </c>
      <c r="G2" s="34">
        <f>G3+G4</f>
      </c>
      <c r="H2" s="34">
        <f>H3+H4</f>
      </c>
      <c r="I2" s="34">
        <f>I3+I4</f>
      </c>
      <c r="J2" s="34">
        <f>J3+J4</f>
      </c>
      <c r="K2" s="34">
        <f>K3+K4</f>
      </c>
      <c r="L2" s="34">
        <f>L3+L4</f>
      </c>
      <c r="M2" s="34">
        <f>M3+M4</f>
      </c>
      <c r="N2" s="34">
        <f>N3+N4</f>
      </c>
      <c r="O2" s="34">
        <f>O3+O4</f>
      </c>
      <c r="P2" s="15">
        <f>IF(SUM(D2:O2)=0,"0",AVERAGEIF(D2:O2,"&lt;&gt;0",D2:O2))</f>
      </c>
      <c r="Q2" s="14"/>
    </row>
    <row r="3">
      <c r="A3" s="34">
        <v>2</v>
      </c>
      <c r="B3" s="39" t="str">
        <v>（1）当月平均购电价格</v>
      </c>
      <c r="C3" s="34" t="str">
        <v>北京</v>
      </c>
      <c r="D3" s="34">
        <v>0.387359</v>
      </c>
      <c r="E3" s="34">
        <v>0.386753</v>
      </c>
      <c r="F3" s="34">
        <v>0.388485</v>
      </c>
      <c r="G3" s="34">
        <v>0.389043</v>
      </c>
      <c r="H3" s="34">
        <v>0.387025</v>
      </c>
      <c r="I3" s="34"/>
      <c r="J3" s="34"/>
      <c r="K3" s="34"/>
      <c r="L3" s="34"/>
      <c r="M3" s="34"/>
      <c r="N3" s="34"/>
      <c r="O3" s="34"/>
      <c r="P3" s="15">
        <f>IF(SUM(D3:O3)=0,"0",AVERAGEIF(D3:O3,"&lt;&gt;0",D3:O3))</f>
      </c>
      <c r="Q3" s="14"/>
    </row>
    <row r="4">
      <c r="A4" s="34">
        <v>3</v>
      </c>
      <c r="B4" s="39" t="str">
        <v>（2）历史偏差电费折价</v>
      </c>
      <c r="C4" s="34" t="str">
        <v>北京</v>
      </c>
      <c r="D4" s="34">
        <v>-0.004021</v>
      </c>
      <c r="E4" s="34">
        <v>-0.005949</v>
      </c>
      <c r="F4" s="34">
        <v>0.000221</v>
      </c>
      <c r="G4" s="34">
        <v>-0.005019</v>
      </c>
      <c r="H4" s="34">
        <v>0.011688</v>
      </c>
      <c r="I4" s="34"/>
      <c r="J4" s="34"/>
      <c r="K4" s="34"/>
      <c r="L4" s="34"/>
      <c r="M4" s="34"/>
      <c r="N4" s="34"/>
      <c r="O4" s="34"/>
      <c r="P4" s="15">
        <f>IF(SUM(D4:O4)=0,"0",AVERAGEIF(D4:O4,"&lt;&gt;0",D4:O4))</f>
      </c>
      <c r="Q4" s="14"/>
    </row>
    <row r="5">
      <c r="A5" s="34">
        <v>4</v>
      </c>
      <c r="B5" s="37" t="str">
        <v>代理工商业购电价格</v>
      </c>
      <c r="C5" s="36" t="str">
        <v>天津</v>
      </c>
      <c r="D5" s="36">
        <f>D6+D7</f>
      </c>
      <c r="E5" s="36">
        <f>E6+E7</f>
      </c>
      <c r="F5" s="36">
        <f>F6+F7</f>
      </c>
      <c r="G5" s="36">
        <f>G6+G7</f>
      </c>
      <c r="H5" s="36">
        <f>H6+H7</f>
      </c>
      <c r="I5" s="36">
        <f>I6+I7</f>
      </c>
      <c r="J5" s="36">
        <f>J6+J7</f>
      </c>
      <c r="K5" s="36">
        <f>K6+K7</f>
      </c>
      <c r="L5" s="36">
        <f>L6+L7</f>
      </c>
      <c r="M5" s="36">
        <f>M6+M7</f>
      </c>
      <c r="N5" s="36">
        <f>N6+N7</f>
      </c>
      <c r="O5" s="36">
        <f>O6+O7</f>
      </c>
      <c r="P5" s="15">
        <f>IF(SUM(D5:O5)=0,"0",AVERAGEIF(D5:O5,"&lt;&gt;0",D5:O5))</f>
      </c>
      <c r="Q5" s="14"/>
    </row>
    <row r="6">
      <c r="A6" s="34">
        <v>5</v>
      </c>
      <c r="B6" s="37" t="str">
        <v>（1）当月平均购电价格</v>
      </c>
      <c r="C6" s="36" t="str">
        <v>天津</v>
      </c>
      <c r="D6" s="36">
        <v>0.383083</v>
      </c>
      <c r="E6" s="36">
        <v>0.382515</v>
      </c>
      <c r="F6" s="36">
        <v>0.382257</v>
      </c>
      <c r="G6" s="36">
        <v>0.386076</v>
      </c>
      <c r="H6" s="36">
        <v>0.383864</v>
      </c>
      <c r="I6" s="36"/>
      <c r="J6" s="36"/>
      <c r="K6" s="36"/>
      <c r="L6" s="36"/>
      <c r="M6" s="36"/>
      <c r="N6" s="36"/>
      <c r="O6" s="36"/>
      <c r="P6" s="15">
        <f>IF(SUM(D6:O6)=0,"0",AVERAGEIF(D6:O6,"&lt;&gt;0",D6:O6))</f>
      </c>
      <c r="Q6" s="14"/>
    </row>
    <row r="7">
      <c r="A7" s="34">
        <v>6</v>
      </c>
      <c r="B7" s="37" t="str">
        <v>（2）历史偏差电费折价</v>
      </c>
      <c r="C7" s="36" t="str">
        <v>天津</v>
      </c>
      <c r="D7" s="36">
        <v>-0.016602</v>
      </c>
      <c r="E7" s="36">
        <v>0.012244</v>
      </c>
      <c r="F7" s="36">
        <v>0.011614</v>
      </c>
      <c r="G7" s="36">
        <v>0.008519</v>
      </c>
      <c r="H7" s="36">
        <v>0.004914</v>
      </c>
      <c r="I7" s="36"/>
      <c r="J7" s="36"/>
      <c r="K7" s="36"/>
      <c r="L7" s="36"/>
      <c r="M7" s="36"/>
      <c r="N7" s="36"/>
      <c r="O7" s="36"/>
      <c r="P7" s="15">
        <f>IF(SUM(D7:O7)=0,"0",AVERAGEIF(D7:O7,"&lt;&gt;0",D7:O7))</f>
      </c>
      <c r="Q7" s="14"/>
    </row>
    <row r="8">
      <c r="A8" s="34">
        <v>7</v>
      </c>
      <c r="B8" s="39" t="str">
        <v>代理工商业购电价格</v>
      </c>
      <c r="C8" s="34" t="str">
        <v>河北南网</v>
      </c>
      <c r="D8" s="34">
        <f>D9+D10</f>
      </c>
      <c r="E8" s="34">
        <f>E9+E10</f>
      </c>
      <c r="F8" s="34">
        <f>F9+F10</f>
      </c>
      <c r="G8" s="34">
        <f>G9+G10</f>
      </c>
      <c r="H8" s="34">
        <f>H9+H10</f>
      </c>
      <c r="I8" s="34">
        <f>I9+I10</f>
      </c>
      <c r="J8" s="34">
        <f>J9+J10</f>
      </c>
      <c r="K8" s="34">
        <f>K9+K10</f>
      </c>
      <c r="L8" s="34">
        <f>L9+L10</f>
      </c>
      <c r="M8" s="34">
        <f>M9+M10</f>
      </c>
      <c r="N8" s="34">
        <f>N9+N10</f>
      </c>
      <c r="O8" s="34">
        <f>O9+O10</f>
      </c>
      <c r="P8" s="15">
        <f>IF(SUM(D8:O8)=0,"0",AVERAGEIF(D8:O8,"&lt;&gt;0",D8:O8))</f>
      </c>
      <c r="Q8" s="14"/>
    </row>
    <row r="9">
      <c r="A9" s="34">
        <v>8</v>
      </c>
      <c r="B9" s="39" t="str">
        <v>（1）当月平均购电价格</v>
      </c>
      <c r="C9" s="34" t="str">
        <v>河北南网</v>
      </c>
      <c r="D9" s="34">
        <v>0.40765</v>
      </c>
      <c r="E9" s="34">
        <v>0.403833</v>
      </c>
      <c r="F9" s="34">
        <v>0.39112</v>
      </c>
      <c r="G9" s="34">
        <v>0.383888</v>
      </c>
      <c r="H9" s="34">
        <v>0.377996</v>
      </c>
      <c r="I9" s="34"/>
      <c r="J9" s="34"/>
      <c r="K9" s="34"/>
      <c r="L9" s="34"/>
      <c r="M9" s="34"/>
      <c r="N9" s="34"/>
      <c r="O9" s="34"/>
      <c r="P9" s="15">
        <f>IF(SUM(D9:O9)=0,"0",AVERAGEIF(D9:O9,"&lt;&gt;0",D9:O9))</f>
      </c>
      <c r="Q9" s="14"/>
    </row>
    <row r="10">
      <c r="A10" s="34">
        <v>9</v>
      </c>
      <c r="B10" s="39" t="str">
        <v>（2）历史偏差电费折价</v>
      </c>
      <c r="C10" s="34" t="str">
        <v>河北南网</v>
      </c>
      <c r="D10" s="34">
        <v>0.016791</v>
      </c>
      <c r="E10" s="34">
        <v>0.007077</v>
      </c>
      <c r="F10" s="34">
        <v>0.006872</v>
      </c>
      <c r="G10" s="34">
        <v>0.010217</v>
      </c>
      <c r="H10" s="34">
        <v>0.024821</v>
      </c>
      <c r="I10" s="34"/>
      <c r="J10" s="34"/>
      <c r="K10" s="34"/>
      <c r="L10" s="34"/>
      <c r="M10" s="34"/>
      <c r="N10" s="34"/>
      <c r="O10" s="34"/>
      <c r="P10" s="15">
        <f>IF(SUM(D10:O10)=0,"0",AVERAGEIF(D10:O10,"&lt;&gt;0",D10:O10))</f>
      </c>
      <c r="Q10" s="14"/>
    </row>
    <row r="11">
      <c r="A11" s="34">
        <v>10</v>
      </c>
      <c r="B11" s="37" t="str">
        <v>代理工商业购电价格</v>
      </c>
      <c r="C11" s="36" t="str">
        <v>冀北</v>
      </c>
      <c r="D11" s="36">
        <f>D12+D13</f>
      </c>
      <c r="E11" s="36">
        <f>E12+E13</f>
      </c>
      <c r="F11" s="36">
        <f>F12+F13</f>
      </c>
      <c r="G11" s="36">
        <f>G12+G13</f>
      </c>
      <c r="H11" s="36">
        <f>H12+H13</f>
      </c>
      <c r="I11" s="36">
        <f>I12+I13</f>
      </c>
      <c r="J11" s="36">
        <f>J12+J13</f>
      </c>
      <c r="K11" s="36">
        <f>K12+K13</f>
      </c>
      <c r="L11" s="36">
        <f>L12+L13</f>
      </c>
      <c r="M11" s="36">
        <f>M12+M13</f>
      </c>
      <c r="N11" s="36">
        <f>N12+N13</f>
      </c>
      <c r="O11" s="36">
        <f>O12+O13</f>
      </c>
      <c r="P11" s="15">
        <f>IF(SUM(D11:O11)=0,"0",AVERAGEIF(D11:O11,"&lt;&gt;0",D11:O11))</f>
      </c>
      <c r="Q11" s="14"/>
    </row>
    <row r="12">
      <c r="A12" s="34">
        <v>11</v>
      </c>
      <c r="B12" s="37" t="str">
        <v>（1）当月平均购电价格</v>
      </c>
      <c r="C12" s="36" t="str">
        <v>冀北</v>
      </c>
      <c r="D12" s="36">
        <v>0.394392</v>
      </c>
      <c r="E12" s="36">
        <v>0.393721</v>
      </c>
      <c r="F12" s="36">
        <v>0.394591</v>
      </c>
      <c r="G12" s="36">
        <v>0.39631</v>
      </c>
      <c r="H12" s="36">
        <v>0.396508</v>
      </c>
      <c r="I12" s="36"/>
      <c r="J12" s="36"/>
      <c r="K12" s="36"/>
      <c r="L12" s="36"/>
      <c r="M12" s="36"/>
      <c r="N12" s="36"/>
      <c r="O12" s="36"/>
      <c r="P12" s="15">
        <f>IF(SUM(D12:O12)=0,"0",AVERAGEIF(D12:O12,"&lt;&gt;0",D12:O12))</f>
      </c>
      <c r="Q12" s="14"/>
    </row>
    <row r="13">
      <c r="A13" s="34">
        <v>12</v>
      </c>
      <c r="B13" s="37" t="str">
        <v>（2）历史偏差电费折价</v>
      </c>
      <c r="C13" s="36" t="str">
        <v>冀北</v>
      </c>
      <c r="D13" s="36">
        <v>-0.016618</v>
      </c>
      <c r="E13" s="36">
        <v>-0.00083</v>
      </c>
      <c r="F13" s="36">
        <v>0.014418</v>
      </c>
      <c r="G13" s="36">
        <v>0.020997</v>
      </c>
      <c r="H13" s="36">
        <v>0.027731</v>
      </c>
      <c r="I13" s="36"/>
      <c r="J13" s="36"/>
      <c r="K13" s="36"/>
      <c r="L13" s="36"/>
      <c r="M13" s="36"/>
      <c r="N13" s="36"/>
      <c r="O13" s="36"/>
      <c r="P13" s="15">
        <f>IF(SUM(D13:O13)=0,"0",AVERAGEIF(D13:O13,"&lt;&gt;0",D13:O13))</f>
      </c>
      <c r="Q13" s="14"/>
    </row>
    <row r="14">
      <c r="A14" s="34">
        <v>13</v>
      </c>
      <c r="B14" s="39" t="str">
        <v>代理工商业购电价格</v>
      </c>
      <c r="C14" s="34" t="str">
        <v>山东</v>
      </c>
      <c r="D14" s="34">
        <f>D15+D16+D17</f>
      </c>
      <c r="E14" s="34">
        <f>E15+E16+E17</f>
      </c>
      <c r="F14" s="34">
        <f>F15+F16+F17</f>
      </c>
      <c r="G14" s="34">
        <f>G15+G16+G17</f>
      </c>
      <c r="H14" s="34">
        <f>H15+H16+H17</f>
      </c>
      <c r="I14" s="34">
        <f>I15+I16+I17</f>
      </c>
      <c r="J14" s="34">
        <f>J15+J16+J17</f>
      </c>
      <c r="K14" s="34">
        <f>K15+K16+K17</f>
      </c>
      <c r="L14" s="34">
        <f>L15+L16+L17</f>
      </c>
      <c r="M14" s="34">
        <f>M15+M16+M17</f>
      </c>
      <c r="N14" s="34">
        <f>N15+N16+N17</f>
      </c>
      <c r="O14" s="34">
        <f>O15+O16+O17</f>
      </c>
      <c r="P14" s="15">
        <f>IF(SUM(D14:O14)=0,"0",AVERAGEIF(D14:O14,"&lt;&gt;0",D14:O14))</f>
      </c>
      <c r="Q14" s="14"/>
    </row>
    <row r="15">
      <c r="A15" s="34">
        <v>14</v>
      </c>
      <c r="B15" s="39" t="str">
        <v>（1）当月平均购电价格</v>
      </c>
      <c r="C15" s="34" t="str">
        <v>山东</v>
      </c>
      <c r="D15" s="34">
        <v>0.3767</v>
      </c>
      <c r="E15" s="34">
        <v>0.3431</v>
      </c>
      <c r="F15" s="34">
        <v>0.3004</v>
      </c>
      <c r="G15" s="34">
        <v>0.2862</v>
      </c>
      <c r="H15" s="34">
        <v>0.2993</v>
      </c>
      <c r="I15" s="34"/>
      <c r="J15" s="34"/>
      <c r="K15" s="34"/>
      <c r="L15" s="34"/>
      <c r="M15" s="34"/>
      <c r="N15" s="34"/>
      <c r="O15" s="34"/>
      <c r="P15" s="15">
        <f>IF(SUM(D15:O15)=0,"0",AVERAGEIF(D15:O15,"&lt;&gt;0",D15:O15))</f>
      </c>
      <c r="Q15" s="14"/>
    </row>
    <row customHeight="true" ht="19" r="16">
      <c r="A16" s="34">
        <v>15</v>
      </c>
      <c r="B16" s="39" t="str">
        <v>（2）容量补偿电价</v>
      </c>
      <c r="C16" s="34" t="str">
        <v>山东</v>
      </c>
      <c r="D16" s="34">
        <f>0.0705</f>
      </c>
      <c r="E16" s="34">
        <v>0.0705</v>
      </c>
      <c r="F16" s="34">
        <v>0.0705</v>
      </c>
      <c r="G16" s="34">
        <v>0.0705</v>
      </c>
      <c r="H16" s="34">
        <v>0.0705</v>
      </c>
      <c r="I16" s="34"/>
      <c r="J16" s="34"/>
      <c r="K16" s="34"/>
      <c r="L16" s="34"/>
      <c r="M16" s="34"/>
      <c r="N16" s="34"/>
      <c r="O16" s="34"/>
      <c r="P16" s="15">
        <f>IF(SUM(D16:O16)=0,"0",AVERAGEIF(D16:O16,"&lt;&gt;0",D16:O16))</f>
      </c>
      <c r="Q16" s="14"/>
    </row>
    <row r="17">
      <c r="A17" s="34">
        <v>16</v>
      </c>
      <c r="B17" s="39" t="str">
        <v>（3）历史偏差电费折价</v>
      </c>
      <c r="C17" s="34" t="str">
        <v>山东</v>
      </c>
      <c r="D17" s="34">
        <v>-0.0112</v>
      </c>
      <c r="E17" s="34">
        <v>-0.0247</v>
      </c>
      <c r="F17" s="34">
        <v>-0.0334</v>
      </c>
      <c r="G17" s="34">
        <v>-0.0452</v>
      </c>
      <c r="H17" s="34">
        <v>-0.016</v>
      </c>
      <c r="I17" s="34"/>
      <c r="J17" s="34"/>
      <c r="K17" s="34"/>
      <c r="L17" s="34"/>
      <c r="M17" s="34"/>
      <c r="N17" s="34"/>
      <c r="O17" s="34"/>
      <c r="P17" s="15">
        <f>IF(SUM(D17:O17)=0,"0",AVERAGEIF(D17:O17,"&lt;&gt;0",D17:O17))</f>
      </c>
      <c r="Q17" s="14"/>
    </row>
    <row r="18">
      <c r="A18" s="34">
        <v>17</v>
      </c>
      <c r="B18" s="37" t="str">
        <v>代理工商业购电价格</v>
      </c>
      <c r="C18" s="36" t="str">
        <v>山西</v>
      </c>
      <c r="D18" s="36">
        <f>D19+D20</f>
      </c>
      <c r="E18" s="36">
        <f>E19+E20</f>
      </c>
      <c r="F18" s="36">
        <f>F19+F20</f>
      </c>
      <c r="G18" s="36">
        <f>G19+G20</f>
      </c>
      <c r="H18" s="36">
        <f>H19+H20</f>
      </c>
      <c r="I18" s="36">
        <f>I19+I20</f>
      </c>
      <c r="J18" s="36">
        <f>J19+J20</f>
      </c>
      <c r="K18" s="36">
        <f>K19+K20</f>
      </c>
      <c r="L18" s="36">
        <f>L19+L20</f>
      </c>
      <c r="M18" s="36">
        <f>M19+M20</f>
      </c>
      <c r="N18" s="36">
        <f>N19+N20</f>
      </c>
      <c r="O18" s="36">
        <f>O19+O20</f>
      </c>
      <c r="P18" s="15">
        <f>IF(SUM(D18:O18)=0,"0",AVERAGEIF(D18:O18,"&lt;&gt;0",D18:O18))</f>
      </c>
      <c r="Q18" s="14"/>
    </row>
    <row r="19">
      <c r="A19" s="34">
        <v>18</v>
      </c>
      <c r="B19" s="37" t="str">
        <v>（1）当月平均购电价格</v>
      </c>
      <c r="C19" s="36" t="str">
        <v>山西</v>
      </c>
      <c r="D19" s="36">
        <v>0.3041</v>
      </c>
      <c r="E19" s="36">
        <v>0.29125</v>
      </c>
      <c r="F19" s="36">
        <v>0.283758</v>
      </c>
      <c r="G19" s="36">
        <v>0.291545</v>
      </c>
      <c r="H19" s="36">
        <v>0.279485</v>
      </c>
      <c r="I19" s="36"/>
      <c r="J19" s="36"/>
      <c r="K19" s="36"/>
      <c r="L19" s="36"/>
      <c r="M19" s="36"/>
      <c r="N19" s="36"/>
      <c r="O19" s="36"/>
      <c r="P19" s="15">
        <f>IF(SUM(D19:O19)=0,"0",AVERAGEIF(D19:O19,"&lt;&gt;0",D19:O19))</f>
      </c>
      <c r="Q19" s="14"/>
    </row>
    <row r="20">
      <c r="A20" s="34">
        <v>19</v>
      </c>
      <c r="B20" s="37" t="str">
        <v>（2）历史偏差电费折价</v>
      </c>
      <c r="C20" s="36" t="str">
        <v>山西</v>
      </c>
      <c r="D20" s="36">
        <v>-0.008232</v>
      </c>
      <c r="E20" s="36">
        <v>0.014146</v>
      </c>
      <c r="F20" s="36">
        <v>0.005836</v>
      </c>
      <c r="G20" s="36">
        <v>0.031408</v>
      </c>
      <c r="H20" s="36">
        <v>-0.006153</v>
      </c>
      <c r="I20" s="36"/>
      <c r="J20" s="36"/>
      <c r="K20" s="36"/>
      <c r="L20" s="36"/>
      <c r="M20" s="36"/>
      <c r="N20" s="36"/>
      <c r="O20" s="36"/>
      <c r="P20" s="15">
        <f>IF(SUM(D20:O20)=0,"0",AVERAGEIF(D20:O20,"&lt;&gt;0",D20:O20))</f>
      </c>
      <c r="Q20" s="14"/>
    </row>
    <row customHeight="true" ht="19" r="21">
      <c r="A21" s="34">
        <v>20</v>
      </c>
      <c r="B21" s="39" t="str">
        <v>代理工商业购电价格</v>
      </c>
      <c r="C21" s="34" t="str">
        <v>蒙西</v>
      </c>
      <c r="D21" s="34">
        <f>D22+D23</f>
      </c>
      <c r="E21" s="34">
        <f>E22+E23</f>
      </c>
      <c r="F21" s="34">
        <f>F22+F23</f>
      </c>
      <c r="G21" s="34">
        <f>G22+G23</f>
      </c>
      <c r="H21" s="34">
        <f>H22+H23</f>
      </c>
      <c r="I21" s="34">
        <f>I22+I23</f>
      </c>
      <c r="J21" s="34">
        <f>J22+J23</f>
      </c>
      <c r="K21" s="34">
        <f>K22+K23</f>
      </c>
      <c r="L21" s="34">
        <f>L22+L23</f>
      </c>
      <c r="M21" s="34">
        <f>M22+M23</f>
      </c>
      <c r="N21" s="34">
        <f>N22+N23</f>
      </c>
      <c r="O21" s="34">
        <f>O22+O23</f>
      </c>
      <c r="P21" s="15">
        <f>IF(SUM(D21:O21)=0,"0",AVERAGEIF(D21:O21,"&lt;&gt;0",D21:O21))</f>
      </c>
      <c r="Q21" s="14"/>
    </row>
    <row customHeight="true" ht="19" r="22">
      <c r="A22" s="34">
        <v>21</v>
      </c>
      <c r="B22" s="39" t="str">
        <v>（1）当月平均购电价格</v>
      </c>
      <c r="C22" s="34" t="str">
        <v>蒙西</v>
      </c>
      <c r="D22" s="34">
        <v>0.2863</v>
      </c>
      <c r="E22" s="34">
        <v>0.2815</v>
      </c>
      <c r="F22" s="34">
        <v>0.2834</v>
      </c>
      <c r="G22" s="34">
        <v>0.2788</v>
      </c>
      <c r="H22" s="34">
        <v>0.2732</v>
      </c>
      <c r="I22" s="34"/>
      <c r="J22" s="34"/>
      <c r="K22" s="34"/>
      <c r="L22" s="34"/>
      <c r="M22" s="34"/>
      <c r="N22" s="34"/>
      <c r="O22" s="34"/>
      <c r="P22" s="15">
        <f>IF(SUM(D22:O22)=0,"0",AVERAGEIF(D22:O22,"&lt;&gt;0",D22:O22))</f>
      </c>
      <c r="Q22" s="14"/>
    </row>
    <row customHeight="true" ht="19" r="23">
      <c r="A23" s="34">
        <v>22</v>
      </c>
      <c r="B23" s="39" t="str">
        <v>（2）历史偏差电费折价</v>
      </c>
      <c r="C23" s="34" t="str">
        <v>蒙西</v>
      </c>
      <c r="D23" s="34">
        <v>0.0339</v>
      </c>
      <c r="E23" s="34">
        <v>0.0442</v>
      </c>
      <c r="F23" s="34">
        <v>0.0294</v>
      </c>
      <c r="G23" s="34">
        <v>0.0429</v>
      </c>
      <c r="H23" s="34">
        <v>0.0562</v>
      </c>
      <c r="I23" s="34"/>
      <c r="J23" s="34"/>
      <c r="K23" s="34"/>
      <c r="L23" s="34"/>
      <c r="M23" s="34"/>
      <c r="N23" s="34"/>
      <c r="O23" s="34"/>
      <c r="P23" s="15">
        <f>IF(SUM(D23:O23)=0,"0",AVERAGEIF(D23:O23,"&lt;&gt;0",D23:O23))</f>
      </c>
      <c r="Q23" s="14"/>
    </row>
    <row customHeight="true" ht="19" r="24">
      <c r="A24" s="34">
        <v>23</v>
      </c>
      <c r="B24" s="37" t="str">
        <v>代理工商业购电价格</v>
      </c>
      <c r="C24" s="36" t="str">
        <v>上海</v>
      </c>
      <c r="D24" s="36">
        <f>D25+D26</f>
      </c>
      <c r="E24" s="36">
        <f>E25+E26</f>
      </c>
      <c r="F24" s="36">
        <f>F25+F26</f>
      </c>
      <c r="G24" s="36">
        <f>G25+G26</f>
      </c>
      <c r="H24" s="36">
        <f>H25+H26</f>
      </c>
      <c r="I24" s="36">
        <f>I25+I26</f>
      </c>
      <c r="J24" s="36">
        <f>J25+J26</f>
      </c>
      <c r="K24" s="36">
        <f>K25+K26</f>
      </c>
      <c r="L24" s="36">
        <f>L25+L26</f>
      </c>
      <c r="M24" s="36">
        <f>M25+M26</f>
      </c>
      <c r="N24" s="36">
        <f>N25+N26</f>
      </c>
      <c r="O24" s="36">
        <f>O25+O26</f>
      </c>
      <c r="P24" s="15">
        <f>IF(SUM(D24:O24)=0,"0",AVERAGEIF(D24:O24,"&lt;&gt;0",D24:O24))</f>
      </c>
      <c r="Q24" s="14"/>
    </row>
    <row customHeight="true" ht="19" r="25">
      <c r="A25" s="34">
        <v>24</v>
      </c>
      <c r="B25" s="37" t="str">
        <v>（1）当月平均购电价格</v>
      </c>
      <c r="C25" s="36" t="str">
        <v>上海</v>
      </c>
      <c r="D25" s="36">
        <v>0.4773</v>
      </c>
      <c r="E25" s="36">
        <v>0.475275</v>
      </c>
      <c r="F25" s="36">
        <v>0.453585</v>
      </c>
      <c r="G25" s="36">
        <v>0.447219</v>
      </c>
      <c r="H25" s="36">
        <v>0.459464</v>
      </c>
      <c r="I25" s="36"/>
      <c r="J25" s="36"/>
      <c r="K25" s="36"/>
      <c r="L25" s="36"/>
      <c r="M25" s="36"/>
      <c r="N25" s="36"/>
      <c r="O25" s="36"/>
      <c r="P25" s="15">
        <f>IF(SUM(D25:O25)=0,"0",AVERAGEIF(D25:O25,"&lt;&gt;0",D25:O25))</f>
      </c>
      <c r="Q25" s="14"/>
    </row>
    <row customHeight="true" ht="19" r="26">
      <c r="A26" s="34">
        <v>25</v>
      </c>
      <c r="B26" s="37" t="str">
        <v>（2）历史偏差电费折价</v>
      </c>
      <c r="C26" s="36" t="str">
        <v>上海</v>
      </c>
      <c r="D26" s="36">
        <v>-0.0448</v>
      </c>
      <c r="E26" s="36">
        <v>-0.045009</v>
      </c>
      <c r="F26" s="36">
        <v>-0.014508</v>
      </c>
      <c r="G26" s="36">
        <v>-0.038055</v>
      </c>
      <c r="H26" s="36">
        <v>-0.033421</v>
      </c>
      <c r="I26" s="36"/>
      <c r="J26" s="36"/>
      <c r="K26" s="36"/>
      <c r="L26" s="36"/>
      <c r="M26" s="36"/>
      <c r="N26" s="36"/>
      <c r="O26" s="36"/>
      <c r="P26" s="15">
        <f>IF(SUM(D26:O26)=0,"0",AVERAGEIF(D26:O26,"&lt;&gt;0",D26:O26))</f>
      </c>
      <c r="Q26" s="14"/>
    </row>
    <row customHeight="true" ht="19" r="27">
      <c r="A27" s="34">
        <v>26</v>
      </c>
      <c r="B27" s="39" t="str">
        <v>代理工商业购电价格</v>
      </c>
      <c r="C27" s="34" t="str">
        <v>江苏</v>
      </c>
      <c r="D27" s="34">
        <f>D28+D29</f>
      </c>
      <c r="E27" s="34">
        <f>E28+E29</f>
      </c>
      <c r="F27" s="34">
        <f>F28+F29</f>
      </c>
      <c r="G27" s="34">
        <f>G28+G29</f>
      </c>
      <c r="H27" s="34">
        <f>H28+H29</f>
      </c>
      <c r="I27" s="34">
        <f>I28+I29</f>
      </c>
      <c r="J27" s="34">
        <f>J28+J29</f>
      </c>
      <c r="K27" s="34">
        <f>K28+K29</f>
      </c>
      <c r="L27" s="34">
        <f>L28+L29</f>
      </c>
      <c r="M27" s="34">
        <f>M28+M29</f>
      </c>
      <c r="N27" s="34">
        <f>N28+N29</f>
      </c>
      <c r="O27" s="34">
        <f>O28+O29</f>
      </c>
      <c r="P27" s="15">
        <f>IF(SUM(D27:O27)=0,"0",AVERAGEIF(D27:O27,"&lt;&gt;0",D27:O27))</f>
      </c>
      <c r="Q27" s="14"/>
    </row>
    <row customHeight="true" ht="19" r="28">
      <c r="A28" s="34">
        <v>27</v>
      </c>
      <c r="B28" s="39" t="str">
        <v>（1）当月平均购电价格</v>
      </c>
      <c r="C28" s="34" t="str">
        <v>江苏</v>
      </c>
      <c r="D28" s="34">
        <v>0.3959</v>
      </c>
      <c r="E28" s="34">
        <v>0.3153</v>
      </c>
      <c r="F28" s="34">
        <v>0.3698</v>
      </c>
      <c r="G28" s="34">
        <v>0.3746</v>
      </c>
      <c r="H28" s="34">
        <v>0.366</v>
      </c>
      <c r="I28" s="34"/>
      <c r="J28" s="34"/>
      <c r="K28" s="34"/>
      <c r="L28" s="34"/>
      <c r="M28" s="34"/>
      <c r="N28" s="34"/>
      <c r="O28" s="34"/>
      <c r="P28" s="15">
        <f>IF(SUM(D28:O28)=0,"0",AVERAGEIF(D28:O28,"&lt;&gt;0",D28:O28))</f>
      </c>
      <c r="Q28" s="14"/>
    </row>
    <row customHeight="true" ht="19" r="29">
      <c r="A29" s="34">
        <v>28</v>
      </c>
      <c r="B29" s="39" t="str">
        <v>（2）历史偏差电费折价</v>
      </c>
      <c r="C29" s="34" t="str">
        <v>江苏</v>
      </c>
      <c r="D29" s="34">
        <v>-0.0022</v>
      </c>
      <c r="E29" s="34">
        <v>-0.0051</v>
      </c>
      <c r="F29" s="34">
        <v>-0.024</v>
      </c>
      <c r="G29" s="34">
        <v>-0.0031</v>
      </c>
      <c r="H29" s="34">
        <v>-0.0131</v>
      </c>
      <c r="I29" s="34"/>
      <c r="J29" s="34"/>
      <c r="K29" s="34"/>
      <c r="L29" s="34"/>
      <c r="M29" s="34"/>
      <c r="N29" s="34"/>
      <c r="O29" s="34"/>
      <c r="P29" s="15">
        <f>IF(SUM(D29:O29)=0,"0",AVERAGEIF(D29:O29,"&lt;&gt;0",D29:O29))</f>
      </c>
      <c r="Q29" s="14"/>
    </row>
    <row customHeight="true" ht="19" r="30">
      <c r="A30" s="34">
        <v>29</v>
      </c>
      <c r="B30" s="37" t="str">
        <v>代理工商业购电价格</v>
      </c>
      <c r="C30" s="36" t="str">
        <v>浙江</v>
      </c>
      <c r="D30" s="36">
        <f>D31+D32</f>
      </c>
      <c r="E30" s="36">
        <f>E31+E32</f>
      </c>
      <c r="F30" s="36">
        <f>F31+F32</f>
      </c>
      <c r="G30" s="36">
        <f>G31+G32</f>
      </c>
      <c r="H30" s="36">
        <f>H31+H32</f>
      </c>
      <c r="I30" s="36">
        <f>I31+I32</f>
      </c>
      <c r="J30" s="36">
        <f>J31+J32</f>
      </c>
      <c r="K30" s="36">
        <f>K31+K32</f>
      </c>
      <c r="L30" s="36">
        <f>L31+L32</f>
      </c>
      <c r="M30" s="36">
        <f>M31+M32</f>
      </c>
      <c r="N30" s="36">
        <f>N31+N32</f>
      </c>
      <c r="O30" s="36">
        <f>O31+O32</f>
      </c>
      <c r="P30" s="15">
        <f>IF(SUM(D30:O30)=0,"0",AVERAGEIF(D30:O30,"&lt;&gt;0",D30:O30))</f>
      </c>
      <c r="Q30" s="14"/>
    </row>
    <row customHeight="true" ht="19" r="31">
      <c r="A31" s="34">
        <v>30</v>
      </c>
      <c r="B31" s="37" t="str">
        <v>（1）当月平均购电价格</v>
      </c>
      <c r="C31" s="36" t="str">
        <v>浙江</v>
      </c>
      <c r="D31" s="36">
        <v>0.369526</v>
      </c>
      <c r="E31" s="36">
        <v>0.348541</v>
      </c>
      <c r="F31" s="36">
        <v>0.367624</v>
      </c>
      <c r="G31" s="36">
        <v>0.353313</v>
      </c>
      <c r="H31" s="36">
        <v>0.363202</v>
      </c>
      <c r="I31" s="36"/>
      <c r="J31" s="36"/>
      <c r="K31" s="36"/>
      <c r="L31" s="36"/>
      <c r="M31" s="36"/>
      <c r="N31" s="36"/>
      <c r="O31" s="36"/>
      <c r="P31" s="15">
        <f>IF(SUM(D31:O31)=0,"0",AVERAGEIF(D31:O31,"&lt;&gt;0",D31:O31))</f>
      </c>
      <c r="Q31" s="14"/>
    </row>
    <row customHeight="true" ht="19" r="32">
      <c r="A32" s="34">
        <v>31</v>
      </c>
      <c r="B32" s="37" t="str">
        <v>（2）历史偏差电费折价</v>
      </c>
      <c r="C32" s="36" t="str">
        <v>浙江</v>
      </c>
      <c r="D32" s="36">
        <v>0.03906</v>
      </c>
      <c r="E32" s="36">
        <v>0.038114</v>
      </c>
      <c r="F32" s="36">
        <v>0.00433</v>
      </c>
      <c r="G32" s="36">
        <v>-0.000655</v>
      </c>
      <c r="H32" s="36">
        <v>0.008665</v>
      </c>
      <c r="I32" s="36"/>
      <c r="J32" s="36"/>
      <c r="K32" s="36"/>
      <c r="L32" s="36"/>
      <c r="M32" s="36"/>
      <c r="N32" s="36"/>
      <c r="O32" s="36"/>
      <c r="P32" s="15">
        <f>IF(SUM(D32:O32)=0,"0",AVERAGEIF(D32:O32,"&lt;&gt;0",D32:O32))</f>
      </c>
      <c r="Q32" s="14"/>
    </row>
    <row r="33">
      <c r="A33" s="34">
        <v>32</v>
      </c>
      <c r="B33" s="39" t="str">
        <v>代理工商业购电价格</v>
      </c>
      <c r="C33" s="34" t="str">
        <v>安徽</v>
      </c>
      <c r="D33" s="34">
        <f>D34+D35</f>
      </c>
      <c r="E33" s="34">
        <f>E34+E35</f>
      </c>
      <c r="F33" s="34">
        <f>F34+F35</f>
      </c>
      <c r="G33" s="34">
        <f>G34+G35</f>
      </c>
      <c r="H33" s="34">
        <f>H34+H35</f>
      </c>
      <c r="I33" s="34">
        <f>I34+I35</f>
      </c>
      <c r="J33" s="34">
        <f>J34+J35</f>
      </c>
      <c r="K33" s="34">
        <f>K34+K35</f>
      </c>
      <c r="L33" s="34">
        <f>L34+L35</f>
      </c>
      <c r="M33" s="34">
        <f>M34+M35</f>
      </c>
      <c r="N33" s="34">
        <f>N34+N35</f>
      </c>
      <c r="O33" s="34">
        <f>O34+O35</f>
      </c>
      <c r="P33" s="15">
        <f>IF(SUM(D33:O33)=0,"0",AVERAGEIF(D33:O33,"&lt;&gt;0",D33:O33))</f>
      </c>
      <c r="Q33" s="14"/>
    </row>
    <row r="34">
      <c r="A34" s="34">
        <v>33</v>
      </c>
      <c r="B34" s="39" t="str">
        <v>（1）当月平均购电价格</v>
      </c>
      <c r="C34" s="34" t="str">
        <v>安徽</v>
      </c>
      <c r="D34" s="34">
        <v>0.35766</v>
      </c>
      <c r="E34" s="34">
        <v>0.34625</v>
      </c>
      <c r="F34" s="34">
        <v>0.34747</v>
      </c>
      <c r="G34" s="34">
        <v>0.35533</v>
      </c>
      <c r="H34" s="34">
        <v>0.36176</v>
      </c>
      <c r="I34" s="34"/>
      <c r="J34" s="34"/>
      <c r="K34" s="34"/>
      <c r="L34" s="34"/>
      <c r="M34" s="34"/>
      <c r="N34" s="34"/>
      <c r="O34" s="34"/>
      <c r="P34" s="15">
        <f>IF(SUM(D34:O34)=0,"0",AVERAGEIF(D34:O34,"&lt;&gt;0",D34:O34))</f>
      </c>
      <c r="Q34" s="14"/>
    </row>
    <row r="35">
      <c r="A35" s="34">
        <v>34</v>
      </c>
      <c r="B35" s="39" t="str">
        <v>（2）历史偏差电费折价</v>
      </c>
      <c r="C35" s="34" t="str">
        <v>安徽</v>
      </c>
      <c r="D35" s="34">
        <v>-0.0098</v>
      </c>
      <c r="E35" s="34">
        <v>0.0132</v>
      </c>
      <c r="F35" s="34">
        <v>-0.0105</v>
      </c>
      <c r="G35" s="34">
        <v>-0.0108</v>
      </c>
      <c r="H35" s="34">
        <v>-0.0163</v>
      </c>
      <c r="I35" s="34"/>
      <c r="J35" s="34"/>
      <c r="K35" s="34"/>
      <c r="L35" s="34"/>
      <c r="M35" s="34"/>
      <c r="N35" s="34"/>
      <c r="O35" s="34"/>
      <c r="P35" s="15">
        <f>IF(SUM(D35:O35)=0,"0",AVERAGEIF(D35:O35,"&lt;&gt;0",D35:O35))</f>
      </c>
      <c r="Q35" s="14"/>
    </row>
    <row r="36">
      <c r="A36" s="34">
        <v>35</v>
      </c>
      <c r="B36" s="37" t="str">
        <v>代理工商业购电价格</v>
      </c>
      <c r="C36" s="36" t="str">
        <v>福建</v>
      </c>
      <c r="D36" s="36">
        <f>D37+D38</f>
      </c>
      <c r="E36" s="36">
        <f>E37+E38</f>
      </c>
      <c r="F36" s="36">
        <f>F37+F38</f>
      </c>
      <c r="G36" s="36">
        <f>G37+G38</f>
      </c>
      <c r="H36" s="36">
        <f>H37+H38</f>
      </c>
      <c r="I36" s="36">
        <f>I37+I38</f>
      </c>
      <c r="J36" s="36">
        <f>J37+J38</f>
      </c>
      <c r="K36" s="36">
        <f>K37+K38</f>
      </c>
      <c r="L36" s="36">
        <f>L37+L38</f>
      </c>
      <c r="M36" s="36">
        <f>M37+M38</f>
      </c>
      <c r="N36" s="36">
        <f>N37+N38</f>
      </c>
      <c r="O36" s="36">
        <f>O37+O38</f>
      </c>
      <c r="P36" s="15">
        <f>IF(SUM(D36:O36)=0,"0",AVERAGEIF(D36:O36,"&lt;&gt;0",D36:O36))</f>
      </c>
      <c r="Q36" s="14"/>
    </row>
    <row r="37">
      <c r="A37" s="34">
        <v>36</v>
      </c>
      <c r="B37" s="37" t="str">
        <v>（1）当月平均购电价格</v>
      </c>
      <c r="C37" s="36" t="str">
        <v>福建</v>
      </c>
      <c r="D37" s="36">
        <v>0.369438</v>
      </c>
      <c r="E37" s="36">
        <v>0.368022</v>
      </c>
      <c r="F37" s="36">
        <v>0.366422</v>
      </c>
      <c r="G37" s="36">
        <v>0.370391</v>
      </c>
      <c r="H37" s="36">
        <v>0.371386</v>
      </c>
      <c r="I37" s="36"/>
      <c r="J37" s="36"/>
      <c r="K37" s="36"/>
      <c r="L37" s="36"/>
      <c r="M37" s="36"/>
      <c r="N37" s="36"/>
      <c r="O37" s="36"/>
      <c r="P37" s="15">
        <f>IF(SUM(D37:O37)=0,"0",AVERAGEIF(D37:O37,"&lt;&gt;0",D37:O37))</f>
      </c>
      <c r="Q37" s="14"/>
    </row>
    <row r="38">
      <c r="A38" s="34">
        <v>37</v>
      </c>
      <c r="B38" s="37" t="str">
        <v>（2）历史偏差电费折价</v>
      </c>
      <c r="C38" s="36" t="str">
        <v>福建</v>
      </c>
      <c r="D38" s="36">
        <v>0.017317</v>
      </c>
      <c r="E38" s="36">
        <v>0.011468</v>
      </c>
      <c r="F38" s="36">
        <v>0.00041</v>
      </c>
      <c r="G38" s="36">
        <v>-0.004775</v>
      </c>
      <c r="H38" s="36">
        <v>-0.000847</v>
      </c>
      <c r="I38" s="36"/>
      <c r="J38" s="36"/>
      <c r="K38" s="36"/>
      <c r="L38" s="36"/>
      <c r="M38" s="36"/>
      <c r="N38" s="36"/>
      <c r="O38" s="36"/>
      <c r="P38" s="15">
        <f>IF(SUM(D38:O38)=0,"0",AVERAGEIF(D38:O38,"&lt;&gt;0",D38:O38))</f>
      </c>
      <c r="Q38" s="14"/>
    </row>
    <row r="39">
      <c r="A39" s="34">
        <v>38</v>
      </c>
      <c r="B39" s="39" t="str">
        <v>代理工商业购电价格</v>
      </c>
      <c r="C39" s="34" t="str">
        <v>湖北</v>
      </c>
      <c r="D39" s="34">
        <f>D40+D41</f>
      </c>
      <c r="E39" s="34">
        <f>E40+E41</f>
      </c>
      <c r="F39" s="34">
        <f>F40+F41</f>
      </c>
      <c r="G39" s="34">
        <f>G40+G41</f>
      </c>
      <c r="H39" s="34">
        <f>H40+H41</f>
      </c>
      <c r="I39" s="34">
        <f>I40+I41</f>
      </c>
      <c r="J39" s="34">
        <f>J40+J41</f>
      </c>
      <c r="K39" s="34">
        <f>K40+K41</f>
      </c>
      <c r="L39" s="34">
        <f>L40+L41</f>
      </c>
      <c r="M39" s="34">
        <f>M40+M41</f>
      </c>
      <c r="N39" s="34">
        <f>N40+N41</f>
      </c>
      <c r="O39" s="34">
        <f>O40+O41</f>
      </c>
      <c r="P39" s="15">
        <f>IF(SUM(D39:O39)=0,"0",AVERAGEIF(D39:O39,"&lt;&gt;0",D39:O39))</f>
      </c>
      <c r="Q39" s="14"/>
    </row>
    <row r="40">
      <c r="A40" s="34">
        <v>39</v>
      </c>
      <c r="B40" s="39" t="str">
        <v>（1）当月平均购电价格</v>
      </c>
      <c r="C40" s="34" t="str">
        <v>湖北</v>
      </c>
      <c r="D40" s="34">
        <v>0.38809</v>
      </c>
      <c r="E40" s="34">
        <v>0.39113</v>
      </c>
      <c r="F40" s="34">
        <v>0.39006</v>
      </c>
      <c r="G40" s="34">
        <v>0.40092</v>
      </c>
      <c r="H40" s="34">
        <v>0.39838</v>
      </c>
      <c r="I40" s="34"/>
      <c r="J40" s="34"/>
      <c r="K40" s="34"/>
      <c r="L40" s="34"/>
      <c r="M40" s="34"/>
      <c r="N40" s="34"/>
      <c r="O40" s="34"/>
      <c r="P40" s="15">
        <f>IF(SUM(D40:O40)=0,"0",AVERAGEIF(D40:O40,"&lt;&gt;0",D40:O40))</f>
      </c>
      <c r="Q40" s="14"/>
    </row>
    <row r="41">
      <c r="A41" s="34">
        <v>40</v>
      </c>
      <c r="B41" s="39" t="str">
        <v>（2）历史偏差电费折价</v>
      </c>
      <c r="C41" s="34" t="str">
        <v>湖北</v>
      </c>
      <c r="D41" s="34">
        <v>-0.00362</v>
      </c>
      <c r="E41" s="34">
        <v>-0.045968</v>
      </c>
      <c r="F41" s="34">
        <v>-0.017103</v>
      </c>
      <c r="G41" s="34">
        <v>-0.022064</v>
      </c>
      <c r="H41" s="34">
        <v>-0.038309</v>
      </c>
      <c r="I41" s="34"/>
      <c r="J41" s="34"/>
      <c r="K41" s="34"/>
      <c r="L41" s="34"/>
      <c r="M41" s="34"/>
      <c r="N41" s="34"/>
      <c r="O41" s="34"/>
      <c r="P41" s="15">
        <f>IF(SUM(D41:O41)=0,"0",AVERAGEIF(D41:O41,"&lt;&gt;0",D41:O41))</f>
      </c>
      <c r="Q41" s="14"/>
    </row>
    <row r="42">
      <c r="A42" s="34">
        <v>41</v>
      </c>
      <c r="B42" s="37" t="str">
        <v>代理工商业购电价格</v>
      </c>
      <c r="C42" s="36" t="str">
        <v>河南</v>
      </c>
      <c r="D42" s="36">
        <f>D43+D44</f>
      </c>
      <c r="E42" s="36">
        <f>E43+E44</f>
      </c>
      <c r="F42" s="36">
        <f>F43+F44</f>
      </c>
      <c r="G42" s="36">
        <f>G43+G44</f>
      </c>
      <c r="H42" s="36">
        <f>H43+H44</f>
      </c>
      <c r="I42" s="36">
        <f>I43+I44</f>
      </c>
      <c r="J42" s="36">
        <f>J43+J44</f>
      </c>
      <c r="K42" s="36">
        <f>K43+K44</f>
      </c>
      <c r="L42" s="36">
        <f>L43+L44</f>
      </c>
      <c r="M42" s="36">
        <f>M43+M44</f>
      </c>
      <c r="N42" s="36">
        <f>N43+N44</f>
      </c>
      <c r="O42" s="36">
        <f>O43+O44</f>
      </c>
      <c r="P42" s="15">
        <f>IF(SUM(D42:O42)=0,"0",AVERAGEIF(D42:O42,"&lt;&gt;0",D42:O42))</f>
      </c>
      <c r="Q42" s="14"/>
    </row>
    <row r="43">
      <c r="A43" s="34">
        <v>42</v>
      </c>
      <c r="B43" s="37" t="str">
        <v>（1）当月平均购电价格</v>
      </c>
      <c r="C43" s="36" t="str">
        <v>河南</v>
      </c>
      <c r="D43" s="36">
        <v>0.339764</v>
      </c>
      <c r="E43" s="36">
        <v>0.385249</v>
      </c>
      <c r="F43" s="36">
        <v>0.32802</v>
      </c>
      <c r="G43" s="36">
        <v>0.352904</v>
      </c>
      <c r="H43" s="36">
        <v>0.312235</v>
      </c>
      <c r="I43" s="36"/>
      <c r="J43" s="36"/>
      <c r="K43" s="36"/>
      <c r="L43" s="36"/>
      <c r="M43" s="36"/>
      <c r="N43" s="36"/>
      <c r="O43" s="36"/>
      <c r="P43" s="15">
        <f>IF(SUM(D43:O43)=0,"0",AVERAGEIF(D43:O43,"&lt;&gt;0",D43:O43))</f>
      </c>
      <c r="Q43" s="14"/>
    </row>
    <row r="44">
      <c r="A44" s="34">
        <v>43</v>
      </c>
      <c r="B44" s="37" t="str">
        <v>（2）历史偏差电费折价</v>
      </c>
      <c r="C44" s="36" t="str">
        <v>河南</v>
      </c>
      <c r="D44" s="36">
        <v>0</v>
      </c>
      <c r="E44" s="36">
        <v>0</v>
      </c>
      <c r="F44" s="36">
        <v>0.065153</v>
      </c>
      <c r="G44" s="36">
        <v>0</v>
      </c>
      <c r="H44" s="36">
        <v>0</v>
      </c>
      <c r="I44" s="36"/>
      <c r="J44" s="36"/>
      <c r="K44" s="36"/>
      <c r="L44" s="36"/>
      <c r="M44" s="36"/>
      <c r="N44" s="36"/>
      <c r="O44" s="36"/>
      <c r="P44" s="15">
        <f>IF(SUM(D44:O44)=0,"0",AVERAGEIF(D44:O44,"&lt;&gt;0",D44:O44))</f>
      </c>
      <c r="Q44" s="14"/>
    </row>
    <row r="45">
      <c r="A45" s="34">
        <v>44</v>
      </c>
      <c r="B45" s="39" t="str">
        <v>代理工商业购电价格</v>
      </c>
      <c r="C45" s="34" t="str">
        <v>湖南</v>
      </c>
      <c r="D45" s="34">
        <f>D46+D47+D48</f>
      </c>
      <c r="E45" s="34">
        <f>E46+E47+E48</f>
      </c>
      <c r="F45" s="34">
        <f>F46+F47+F48</f>
      </c>
      <c r="G45" s="34">
        <f>G46+G47+G48</f>
      </c>
      <c r="H45" s="34">
        <f>H46+H47+H48</f>
      </c>
      <c r="I45" s="34">
        <f>I46+I47+I48</f>
      </c>
      <c r="J45" s="34">
        <f>J46+J47+J48</f>
      </c>
      <c r="K45" s="34">
        <f>K46+K47+K48</f>
      </c>
      <c r="L45" s="34">
        <f>L46+L47+L48</f>
      </c>
      <c r="M45" s="34">
        <f>M46+M47+M48</f>
      </c>
      <c r="N45" s="34">
        <f>N46+N47+N48</f>
      </c>
      <c r="O45" s="34">
        <f>O46+O47+O48</f>
      </c>
      <c r="P45" s="15">
        <f>IF(SUM(D45:O45)=0,"0",AVERAGEIF(D45:O45,"&lt;&gt;0",D45:O45))</f>
      </c>
      <c r="Q45" s="14"/>
    </row>
    <row r="46">
      <c r="A46" s="34">
        <v>45</v>
      </c>
      <c r="B46" s="39" t="str">
        <v>（1）当月平均购电价格</v>
      </c>
      <c r="C46" s="34" t="str">
        <v>湖南</v>
      </c>
      <c r="D46" s="34">
        <v>0.441134</v>
      </c>
      <c r="E46" s="34">
        <v>0.446643</v>
      </c>
      <c r="F46" s="34">
        <v>0.432185</v>
      </c>
      <c r="G46" s="34">
        <v>0.372308</v>
      </c>
      <c r="H46" s="34">
        <v>0.257202</v>
      </c>
      <c r="I46" s="34"/>
      <c r="J46" s="34"/>
      <c r="K46" s="34"/>
      <c r="L46" s="34"/>
      <c r="M46" s="34"/>
      <c r="N46" s="34"/>
      <c r="O46" s="34"/>
      <c r="P46" s="15">
        <f>IF(SUM(D46:O46)=0,"0",AVERAGEIF(D46:O46,"&lt;&gt;0",D46:O46))</f>
      </c>
      <c r="Q46" s="14"/>
    </row>
    <row customHeight="true" ht="19" r="47">
      <c r="A47" s="34">
        <v>46</v>
      </c>
      <c r="B47" s="39" t="str">
        <v>（2）历史偏差电费折价</v>
      </c>
      <c r="C47" s="34" t="str">
        <v>湖南</v>
      </c>
      <c r="D47" s="34">
        <v>0.000243</v>
      </c>
      <c r="E47" s="34">
        <v>-0.0221</v>
      </c>
      <c r="F47" s="34">
        <v>-0.013595</v>
      </c>
      <c r="G47" s="34">
        <v>-0.009898</v>
      </c>
      <c r="H47" s="34">
        <v>-0.003878</v>
      </c>
      <c r="I47" s="34"/>
      <c r="J47" s="34"/>
      <c r="K47" s="34"/>
      <c r="L47" s="34"/>
      <c r="M47" s="34"/>
      <c r="N47" s="34"/>
      <c r="O47" s="34"/>
      <c r="P47" s="15">
        <f>IF(SUM(D47:O47)=0,"0",AVERAGEIF(D47:O47,"&lt;&gt;0",D47:O47))</f>
      </c>
      <c r="Q47" s="14"/>
    </row>
    <row r="48">
      <c r="A48" s="34">
        <v>47</v>
      </c>
      <c r="B48" s="39" t="str">
        <v>（3）购售价差资金折价</v>
      </c>
      <c r="C48" s="34" t="str">
        <v>湖南</v>
      </c>
      <c r="D48" s="34">
        <v>-0.002024</v>
      </c>
      <c r="E48" s="34">
        <v>0.016991</v>
      </c>
      <c r="F48" s="34">
        <v>0.018957</v>
      </c>
      <c r="G48" s="34">
        <v>0.023455</v>
      </c>
      <c r="H48" s="34">
        <v>0.12163</v>
      </c>
      <c r="I48" s="34"/>
      <c r="J48" s="34"/>
      <c r="K48" s="34"/>
      <c r="L48" s="34"/>
      <c r="M48" s="34"/>
      <c r="N48" s="34"/>
      <c r="O48" s="34"/>
      <c r="P48" s="15">
        <f>IF(SUM(D48:O48)=0,"0",AVERAGEIF(D48:O48,"&lt;&gt;0",D48:O48))</f>
      </c>
      <c r="Q48" s="14"/>
    </row>
    <row r="49">
      <c r="A49" s="34">
        <v>48</v>
      </c>
      <c r="B49" s="37" t="str">
        <v>代理工商业购电价格</v>
      </c>
      <c r="C49" s="36" t="str">
        <v>江西</v>
      </c>
      <c r="D49" s="36">
        <f>D50+D51</f>
      </c>
      <c r="E49" s="36">
        <f>E50+E51</f>
      </c>
      <c r="F49" s="36">
        <f>F50+F51</f>
      </c>
      <c r="G49" s="36">
        <f>G50+G51</f>
      </c>
      <c r="H49" s="36">
        <f>H50+H51</f>
      </c>
      <c r="I49" s="36">
        <f>I50+I51</f>
      </c>
      <c r="J49" s="36">
        <f>J50+J51</f>
      </c>
      <c r="K49" s="36">
        <f>K50+K51</f>
      </c>
      <c r="L49" s="36">
        <f>L50+L51</f>
      </c>
      <c r="M49" s="36">
        <f>M50+M51</f>
      </c>
      <c r="N49" s="36">
        <f>N50+N51</f>
      </c>
      <c r="O49" s="36">
        <f>O50+O51</f>
      </c>
      <c r="P49" s="15">
        <f>IF(SUM(D49:O49)=0,"0",AVERAGEIF(D49:O49,"&lt;&gt;0",D49:O49))</f>
      </c>
      <c r="Q49" s="14"/>
    </row>
    <row r="50">
      <c r="A50" s="34">
        <v>49</v>
      </c>
      <c r="B50" s="37" t="str">
        <v>（1）当月平均购电价格</v>
      </c>
      <c r="C50" s="36" t="str">
        <v>江西</v>
      </c>
      <c r="D50" s="36">
        <v>0.412549</v>
      </c>
      <c r="E50" s="36">
        <v>0.405745</v>
      </c>
      <c r="F50" s="36">
        <v>0.405745</v>
      </c>
      <c r="G50" s="36">
        <v>0.405745</v>
      </c>
      <c r="H50" s="36">
        <v>0.405744</v>
      </c>
      <c r="I50" s="36"/>
      <c r="J50" s="36"/>
      <c r="K50" s="36"/>
      <c r="L50" s="36"/>
      <c r="M50" s="36"/>
      <c r="N50" s="36"/>
      <c r="O50" s="36"/>
      <c r="P50" s="15">
        <f>IF(SUM(D50:O50)=0,"0",AVERAGEIF(D50:O50,"&lt;&gt;0",D50:O50))</f>
      </c>
      <c r="Q50" s="14"/>
    </row>
    <row r="51">
      <c r="A51" s="34">
        <v>50</v>
      </c>
      <c r="B51" s="37" t="str">
        <v>（2）历史偏差电费折价</v>
      </c>
      <c r="C51" s="36" t="str">
        <v>江西</v>
      </c>
      <c r="D51" s="36">
        <v>-0.049708</v>
      </c>
      <c r="E51" s="36">
        <v>0.00887</v>
      </c>
      <c r="F51" s="36">
        <v>0.004438</v>
      </c>
      <c r="G51" s="36">
        <v>0.00634</v>
      </c>
      <c r="H51" s="36">
        <v>-0.028745</v>
      </c>
      <c r="I51" s="36"/>
      <c r="J51" s="36"/>
      <c r="K51" s="36"/>
      <c r="L51" s="36"/>
      <c r="M51" s="36"/>
      <c r="N51" s="36"/>
      <c r="O51" s="36"/>
      <c r="P51" s="15">
        <f>IF(SUM(D51:O51)=0,"0",AVERAGEIF(D51:O51,"&lt;&gt;0",D51:O51))</f>
      </c>
      <c r="Q51" s="14"/>
    </row>
    <row r="52">
      <c r="A52" s="34">
        <v>51</v>
      </c>
      <c r="B52" s="39" t="str">
        <v>代理工商业购电价格</v>
      </c>
      <c r="C52" s="34" t="str">
        <v>辽宁</v>
      </c>
      <c r="D52" s="34">
        <f>D53+D54</f>
      </c>
      <c r="E52" s="34">
        <f>E53+E54</f>
      </c>
      <c r="F52" s="34">
        <f>F53+F54</f>
      </c>
      <c r="G52" s="34">
        <f>G53+G54</f>
      </c>
      <c r="H52" s="34">
        <f>H53+H54</f>
      </c>
      <c r="I52" s="34">
        <f>I53+I54</f>
      </c>
      <c r="J52" s="34">
        <f>J53+J54</f>
      </c>
      <c r="K52" s="34">
        <f>K53+K54</f>
      </c>
      <c r="L52" s="34">
        <f>L53+L54</f>
      </c>
      <c r="M52" s="34">
        <f>M53+M54</f>
      </c>
      <c r="N52" s="34">
        <f>N53+N54</f>
      </c>
      <c r="O52" s="34">
        <f>O53+O54</f>
      </c>
      <c r="P52" s="15">
        <f>IF(SUM(D52:O52)=0,"0",AVERAGEIF(D52:O52,"&lt;&gt;0",D52:O52))</f>
      </c>
      <c r="Q52" s="14"/>
    </row>
    <row r="53">
      <c r="A53" s="34">
        <v>52</v>
      </c>
      <c r="B53" s="39" t="str">
        <v>（1）当月平均购电价格</v>
      </c>
      <c r="C53" s="34" t="str">
        <v>辽宁</v>
      </c>
      <c r="D53" s="34">
        <v>0.310821</v>
      </c>
      <c r="E53" s="34">
        <v>0.308022</v>
      </c>
      <c r="F53" s="34">
        <v>0.201213</v>
      </c>
      <c r="G53" s="34">
        <v>0.30071</v>
      </c>
      <c r="H53" s="34">
        <v>0.289215</v>
      </c>
      <c r="I53" s="34"/>
      <c r="J53" s="34"/>
      <c r="K53" s="34"/>
      <c r="L53" s="34"/>
      <c r="M53" s="34"/>
      <c r="N53" s="34"/>
      <c r="O53" s="34"/>
      <c r="P53" s="15">
        <f>IF(SUM(D53:O53)=0,"0",AVERAGEIF(D53:O53,"&lt;&gt;0",D53:O53))</f>
      </c>
      <c r="Q53" s="14"/>
    </row>
    <row r="54">
      <c r="A54" s="34">
        <v>53</v>
      </c>
      <c r="B54" s="39" t="str">
        <v>（2）历史偏差电费折价</v>
      </c>
      <c r="C54" s="34" t="str">
        <v>辽宁</v>
      </c>
      <c r="D54" s="34">
        <v>0.022026</v>
      </c>
      <c r="E54" s="34">
        <v>0.023194</v>
      </c>
      <c r="F54" s="34">
        <v>-0.002117</v>
      </c>
      <c r="G54" s="34">
        <v>-0.01256</v>
      </c>
      <c r="H54" s="34">
        <v>-0.004584</v>
      </c>
      <c r="I54" s="34"/>
      <c r="J54" s="34"/>
      <c r="K54" s="34"/>
      <c r="L54" s="34"/>
      <c r="M54" s="34"/>
      <c r="N54" s="34"/>
      <c r="O54" s="34"/>
      <c r="P54" s="15">
        <f>IF(SUM(D54:O54)=0,"0",AVERAGEIF(D54:O54,"&lt;&gt;0",D54:O54))</f>
      </c>
      <c r="Q54" s="14"/>
    </row>
    <row r="55">
      <c r="A55" s="34">
        <v>54</v>
      </c>
      <c r="B55" s="37" t="str">
        <v>代理工商业购电价格</v>
      </c>
      <c r="C55" s="36" t="str">
        <v>吉林</v>
      </c>
      <c r="D55" s="36">
        <f>D56+D57</f>
      </c>
      <c r="E55" s="36">
        <f>E56+E57</f>
      </c>
      <c r="F55" s="36">
        <f>F56+F57</f>
      </c>
      <c r="G55" s="36">
        <f>G56+G57</f>
      </c>
      <c r="H55" s="36">
        <f>H56+H57</f>
      </c>
      <c r="I55" s="36">
        <f>I56+I57</f>
      </c>
      <c r="J55" s="36">
        <f>J56+J57</f>
      </c>
      <c r="K55" s="36">
        <f>K56+K57</f>
      </c>
      <c r="L55" s="36">
        <f>L56+L57</f>
      </c>
      <c r="M55" s="36">
        <f>M56+M57</f>
      </c>
      <c r="N55" s="36">
        <f>N56+N57</f>
      </c>
      <c r="O55" s="36">
        <f>O56+O57</f>
      </c>
      <c r="P55" s="15">
        <f>IF(SUM(D55:O55)=0,"0",AVERAGEIF(D55:O55,"&lt;&gt;0",D55:O55))</f>
      </c>
      <c r="Q55" s="14"/>
    </row>
    <row r="56">
      <c r="A56" s="34">
        <v>55</v>
      </c>
      <c r="B56" s="37" t="str">
        <v>（1）当月平均购电价格</v>
      </c>
      <c r="C56" s="36" t="str">
        <v>吉林</v>
      </c>
      <c r="D56" s="36">
        <v>0.3442</v>
      </c>
      <c r="E56" s="36">
        <v>0.34408</v>
      </c>
      <c r="F56" s="36">
        <v>0.340756</v>
      </c>
      <c r="G56" s="36">
        <v>0.33911</v>
      </c>
      <c r="H56" s="36">
        <v>0.33754</v>
      </c>
      <c r="I56" s="36"/>
      <c r="J56" s="36"/>
      <c r="K56" s="36"/>
      <c r="L56" s="36"/>
      <c r="M56" s="36"/>
      <c r="N56" s="36"/>
      <c r="O56" s="36"/>
      <c r="P56" s="15">
        <f>IF(SUM(D56:O56)=0,"0",AVERAGEIF(D56:O56,"&lt;&gt;0",D56:O56))</f>
      </c>
      <c r="Q56" s="14"/>
    </row>
    <row r="57">
      <c r="A57" s="34">
        <v>56</v>
      </c>
      <c r="B57" s="37" t="str">
        <v>（2）历史偏差电费折价</v>
      </c>
      <c r="C57" s="36" t="str">
        <v>吉林</v>
      </c>
      <c r="D57" s="36">
        <v>-0.00266</v>
      </c>
      <c r="E57" s="36">
        <v>-0.007273</v>
      </c>
      <c r="F57" s="36">
        <v>-0.000195</v>
      </c>
      <c r="G57" s="36">
        <v>0.002471</v>
      </c>
      <c r="H57" s="36">
        <v>-0.005662</v>
      </c>
      <c r="I57" s="36"/>
      <c r="J57" s="36"/>
      <c r="K57" s="36"/>
      <c r="L57" s="36"/>
      <c r="M57" s="36"/>
      <c r="N57" s="36"/>
      <c r="O57" s="36"/>
      <c r="P57" s="15">
        <f>IF(SUM(D57:O57)=0,"0",AVERAGEIF(D57:O57,"&lt;&gt;0",D57:O57))</f>
      </c>
      <c r="Q57" s="14"/>
    </row>
    <row r="58">
      <c r="A58" s="34">
        <v>57</v>
      </c>
      <c r="B58" s="39" t="str">
        <v>代理工商业购电价格</v>
      </c>
      <c r="C58" s="34" t="str">
        <v>黑龙江</v>
      </c>
      <c r="D58" s="34">
        <f>D59+D60</f>
      </c>
      <c r="E58" s="34">
        <f>E59+E60</f>
      </c>
      <c r="F58" s="34">
        <f>F59+F60</f>
      </c>
      <c r="G58" s="34">
        <f>G59+G60</f>
      </c>
      <c r="H58" s="34">
        <f>H59+H60</f>
      </c>
      <c r="I58" s="34">
        <f>I59+I60</f>
      </c>
      <c r="J58" s="34">
        <f>J59+J60</f>
      </c>
      <c r="K58" s="34">
        <f>K59+K60</f>
      </c>
      <c r="L58" s="34">
        <f>L59+L60</f>
      </c>
      <c r="M58" s="34">
        <f>M59+M60</f>
      </c>
      <c r="N58" s="34">
        <f>N59+N60</f>
      </c>
      <c r="O58" s="34">
        <f>O59+O60</f>
      </c>
      <c r="P58" s="15">
        <f>IF(SUM(D58:O58)=0,"0",AVERAGEIF(D58:O58,"&lt;&gt;0",D58:O58))</f>
      </c>
      <c r="Q58" s="14"/>
    </row>
    <row r="59">
      <c r="A59" s="34">
        <v>58</v>
      </c>
      <c r="B59" s="39" t="str">
        <v>（1）当月平均购电价格</v>
      </c>
      <c r="C59" s="34" t="str">
        <v>黑龙江</v>
      </c>
      <c r="D59" s="34">
        <v>0.2992</v>
      </c>
      <c r="E59" s="34">
        <v>0.2992</v>
      </c>
      <c r="F59" s="34">
        <v>0.2992</v>
      </c>
      <c r="G59" s="34">
        <v>0.2992</v>
      </c>
      <c r="H59" s="34">
        <v>0.2992</v>
      </c>
      <c r="I59" s="34"/>
      <c r="J59" s="34"/>
      <c r="K59" s="34"/>
      <c r="L59" s="34"/>
      <c r="M59" s="34"/>
      <c r="N59" s="34"/>
      <c r="O59" s="34"/>
      <c r="P59" s="15">
        <f>IF(SUM(D59:O59)=0,"0",AVERAGEIF(D59:O59,"&lt;&gt;0",D59:O59))</f>
      </c>
      <c r="Q59" s="14"/>
    </row>
    <row r="60">
      <c r="A60" s="34">
        <v>59</v>
      </c>
      <c r="B60" s="39" t="str">
        <v>（2）历史偏差电费折价</v>
      </c>
      <c r="C60" s="34" t="str">
        <v>黑龙江</v>
      </c>
      <c r="D60" s="34">
        <v>0.00851</v>
      </c>
      <c r="E60" s="34">
        <v>0</v>
      </c>
      <c r="F60" s="34">
        <v>0.007461</v>
      </c>
      <c r="G60" s="34">
        <v>0.009851</v>
      </c>
      <c r="H60" s="34">
        <v>0.001674</v>
      </c>
      <c r="I60" s="34"/>
      <c r="J60" s="34"/>
      <c r="K60" s="34"/>
      <c r="L60" s="34"/>
      <c r="M60" s="34"/>
      <c r="N60" s="34"/>
      <c r="O60" s="34"/>
      <c r="P60" s="15">
        <f>IF(SUM(D60:O60)=0,"0",AVERAGEIF(D60:O60,"&lt;&gt;0",D60:O60))</f>
      </c>
      <c r="Q60" s="14"/>
    </row>
    <row r="61">
      <c r="A61" s="34">
        <v>60</v>
      </c>
      <c r="B61" s="37" t="str">
        <v>代理工商业购电价格</v>
      </c>
      <c r="C61" s="36" t="str">
        <v>蒙东</v>
      </c>
      <c r="D61" s="36">
        <f>D62+D63</f>
      </c>
      <c r="E61" s="36">
        <f>E62+E63</f>
      </c>
      <c r="F61" s="36">
        <f>F62+F63</f>
      </c>
      <c r="G61" s="36">
        <f>G62+G63</f>
      </c>
      <c r="H61" s="36">
        <f>H62+H63</f>
      </c>
      <c r="I61" s="36">
        <f>I62+I63</f>
      </c>
      <c r="J61" s="36">
        <f>J62+J63</f>
      </c>
      <c r="K61" s="36">
        <f>K62+K63</f>
      </c>
      <c r="L61" s="36">
        <f>L62+L63</f>
      </c>
      <c r="M61" s="36">
        <f>M62+M63</f>
      </c>
      <c r="N61" s="36">
        <f>N62+N63</f>
      </c>
      <c r="O61" s="36">
        <f>O62+O63</f>
      </c>
      <c r="P61" s="15">
        <f>IF(SUM(D61:O61)=0,"0",AVERAGEIF(D61:O61,"&lt;&gt;0",D61:O61))</f>
      </c>
      <c r="Q61" s="14"/>
    </row>
    <row r="62">
      <c r="A62" s="34">
        <v>61</v>
      </c>
      <c r="B62" s="37" t="str">
        <v>（1）当月平均购电价格</v>
      </c>
      <c r="C62" s="36" t="str">
        <v>蒙东</v>
      </c>
      <c r="D62" s="36">
        <v>0.28</v>
      </c>
      <c r="E62" s="36">
        <v>0.2031</v>
      </c>
      <c r="F62" s="36">
        <v>0.20196</v>
      </c>
      <c r="G62" s="36">
        <v>0.20107</v>
      </c>
      <c r="H62" s="36">
        <v>0.20477</v>
      </c>
      <c r="I62" s="36"/>
      <c r="J62" s="36"/>
      <c r="K62" s="36"/>
      <c r="L62" s="36"/>
      <c r="M62" s="36"/>
      <c r="N62" s="36"/>
      <c r="O62" s="36"/>
      <c r="P62" s="15">
        <f>IF(SUM(D62:O62)=0,"0",AVERAGEIF(D62:O62,"&lt;&gt;0",D62:O62))</f>
      </c>
      <c r="Q62" s="14"/>
    </row>
    <row r="63">
      <c r="A63" s="34">
        <v>62</v>
      </c>
      <c r="B63" s="37" t="str">
        <v>（2）历史偏差电费折价</v>
      </c>
      <c r="C63" s="36" t="str">
        <v>蒙东</v>
      </c>
      <c r="D63" s="36">
        <v>-0.031546</v>
      </c>
      <c r="E63" s="36">
        <v>-0.006799</v>
      </c>
      <c r="F63" s="36">
        <v>-0.007013</v>
      </c>
      <c r="G63" s="36">
        <v>-0.031193</v>
      </c>
      <c r="H63" s="36">
        <v>-0.026499</v>
      </c>
      <c r="I63" s="36"/>
      <c r="J63" s="36"/>
      <c r="K63" s="36"/>
      <c r="L63" s="36"/>
      <c r="M63" s="36"/>
      <c r="N63" s="36"/>
      <c r="O63" s="36"/>
      <c r="P63" s="15">
        <f>IF(SUM(D63:O63)=0,"0",AVERAGEIF(D63:O63,"&lt;&gt;0",D63:O63))</f>
      </c>
      <c r="Q63" s="14"/>
    </row>
    <row r="64">
      <c r="A64" s="34">
        <v>63</v>
      </c>
      <c r="B64" s="39" t="str">
        <v>代理工商业购电价格</v>
      </c>
      <c r="C64" s="34" t="str">
        <v>陕西</v>
      </c>
      <c r="D64" s="34">
        <f>D65+D66</f>
      </c>
      <c r="E64" s="34">
        <f>E65+E66</f>
      </c>
      <c r="F64" s="34">
        <f>F65+F66</f>
      </c>
      <c r="G64" s="34">
        <f>G65+G66</f>
      </c>
      <c r="H64" s="34">
        <f>H65+H66</f>
      </c>
      <c r="I64" s="34">
        <f>I65+I66</f>
      </c>
      <c r="J64" s="34">
        <f>J65+J66</f>
      </c>
      <c r="K64" s="34">
        <f>K65+K66</f>
      </c>
      <c r="L64" s="34">
        <f>L65+L66</f>
      </c>
      <c r="M64" s="34">
        <f>M65+M66</f>
      </c>
      <c r="N64" s="34">
        <f>N65+N66</f>
      </c>
      <c r="O64" s="34">
        <f>O65+O66</f>
      </c>
      <c r="P64" s="15">
        <f>IF(SUM(D64:O64)=0,"0",AVERAGEIF(D64:O64,"&lt;&gt;0",D64:O64))</f>
      </c>
      <c r="Q64" s="14"/>
    </row>
    <row r="65">
      <c r="A65" s="34">
        <v>64</v>
      </c>
      <c r="B65" s="39" t="str">
        <v>（1）当月平均购电价格</v>
      </c>
      <c r="C65" s="34" t="str">
        <v>陕西</v>
      </c>
      <c r="D65" s="34">
        <v>0.3257</v>
      </c>
      <c r="E65" s="34">
        <v>0.3267</v>
      </c>
      <c r="F65" s="34">
        <v>0.313</v>
      </c>
      <c r="G65" s="34">
        <v>0.2876</v>
      </c>
      <c r="H65" s="34">
        <v>0.2863</v>
      </c>
      <c r="I65" s="34"/>
      <c r="J65" s="34"/>
      <c r="K65" s="34"/>
      <c r="L65" s="34"/>
      <c r="M65" s="34"/>
      <c r="N65" s="34"/>
      <c r="O65" s="34"/>
      <c r="P65" s="15">
        <f>IF(SUM(D65:O65)=0,"0",AVERAGEIF(D65:O65,"&lt;&gt;0",D65:O65))</f>
      </c>
      <c r="Q65" s="14"/>
    </row>
    <row r="66">
      <c r="A66" s="34">
        <v>65</v>
      </c>
      <c r="B66" s="39" t="str">
        <v>（2）历史偏差电费折价</v>
      </c>
      <c r="C66" s="34" t="str">
        <v>陕西</v>
      </c>
      <c r="D66" s="34">
        <v>0.0556</v>
      </c>
      <c r="E66" s="34">
        <v>0.072</v>
      </c>
      <c r="F66" s="34">
        <v>0.0246</v>
      </c>
      <c r="G66" s="34">
        <v>0.0356</v>
      </c>
      <c r="H66" s="34">
        <v>0.0013</v>
      </c>
      <c r="I66" s="34"/>
      <c r="J66" s="34"/>
      <c r="K66" s="34"/>
      <c r="L66" s="34"/>
      <c r="M66" s="34"/>
      <c r="N66" s="34"/>
      <c r="O66" s="34"/>
      <c r="P66" s="15">
        <f>IF(SUM(D66:O66)=0,"0",AVERAGEIF(D66:O66,"&lt;&gt;0",D66:O66))</f>
      </c>
      <c r="Q66" s="14"/>
    </row>
    <row r="67">
      <c r="A67" s="34">
        <v>66</v>
      </c>
      <c r="B67" s="37" t="str">
        <v>代理工商业购电价格</v>
      </c>
      <c r="C67" s="36" t="str">
        <v>甘肃</v>
      </c>
      <c r="D67" s="36">
        <f>D68+D69+D70</f>
      </c>
      <c r="E67" s="36">
        <f>E68+E69+E70</f>
      </c>
      <c r="F67" s="36">
        <f>F68+F69+F70</f>
      </c>
      <c r="G67" s="36">
        <f>G68+G69+G70</f>
      </c>
      <c r="H67" s="36">
        <f>H68+H69+H70</f>
      </c>
      <c r="I67" s="36">
        <f>I68+I69+I70</f>
      </c>
      <c r="J67" s="36">
        <f>J68+J69+J70</f>
      </c>
      <c r="K67" s="36">
        <f>K68+K69+K70</f>
      </c>
      <c r="L67" s="36">
        <f>L68+L69+L70</f>
      </c>
      <c r="M67" s="36">
        <f>M68+M69+M70</f>
      </c>
      <c r="N67" s="36">
        <f>N68+N69+N70</f>
      </c>
      <c r="O67" s="36">
        <f>O68+O69+O70</f>
      </c>
      <c r="P67" s="15">
        <f>IF(SUM(D67:O67)=0,"0",AVERAGEIF(D67:O67,"&lt;&gt;0",D67:O67))</f>
      </c>
      <c r="Q67" s="14"/>
    </row>
    <row r="68">
      <c r="A68" s="34">
        <v>67</v>
      </c>
      <c r="B68" s="37" t="str">
        <v>（1）当月平均购电价格</v>
      </c>
      <c r="C68" s="36" t="str">
        <v>甘肃</v>
      </c>
      <c r="D68" s="36">
        <v>0.249928</v>
      </c>
      <c r="E68" s="36">
        <v>0.244792</v>
      </c>
      <c r="F68" s="36">
        <v>0.2537</v>
      </c>
      <c r="G68" s="36">
        <v>0.174365</v>
      </c>
      <c r="H68" s="36">
        <v>0.144591</v>
      </c>
      <c r="I68" s="36"/>
      <c r="J68" s="36"/>
      <c r="K68" s="36"/>
      <c r="L68" s="36"/>
      <c r="M68" s="36"/>
      <c r="N68" s="36"/>
      <c r="O68" s="36"/>
      <c r="P68" s="15">
        <f>IF(SUM(D68:O68)=0,"0",AVERAGEIF(D68:O68,"&lt;&gt;0",D68:O68))</f>
      </c>
      <c r="Q68" s="14"/>
    </row>
    <row r="69">
      <c r="A69" s="34">
        <v>68</v>
      </c>
      <c r="B69" s="37" t="str">
        <v>（2）历史偏差电费折价</v>
      </c>
      <c r="C69" s="36" t="str">
        <v>甘肃</v>
      </c>
      <c r="D69" s="36">
        <v>0.001971</v>
      </c>
      <c r="E69" s="36">
        <v>0.006559</v>
      </c>
      <c r="F69" s="36">
        <v>0.002782</v>
      </c>
      <c r="G69" s="36">
        <v>0.02013</v>
      </c>
      <c r="H69" s="36">
        <v>0.003041</v>
      </c>
      <c r="I69" s="36"/>
      <c r="J69" s="36"/>
      <c r="K69" s="36"/>
      <c r="L69" s="36"/>
      <c r="M69" s="36"/>
      <c r="N69" s="36"/>
      <c r="O69" s="36"/>
      <c r="P69" s="15">
        <f>IF(SUM(D69:O69)=0,"0",AVERAGEIF(D69:O69,"&lt;&gt;0",D69:O69))</f>
      </c>
      <c r="Q69" s="14"/>
    </row>
    <row customHeight="true" ht="19" r="70">
      <c r="A70" s="34">
        <v>69</v>
      </c>
      <c r="B70" s="37" t="str">
        <v>（3）双轨制资金折价</v>
      </c>
      <c r="C70" s="36" t="str">
        <v>甘肃</v>
      </c>
      <c r="D70" s="36">
        <v>0.024294</v>
      </c>
      <c r="E70" s="36">
        <v>0.039016</v>
      </c>
      <c r="F70" s="36">
        <v>0.005281</v>
      </c>
      <c r="G70" s="36">
        <v>0.007059</v>
      </c>
      <c r="H70" s="36">
        <v>0.012595</v>
      </c>
      <c r="I70" s="36"/>
      <c r="J70" s="36"/>
      <c r="K70" s="36"/>
      <c r="L70" s="36"/>
      <c r="M70" s="36"/>
      <c r="N70" s="36"/>
      <c r="O70" s="36"/>
      <c r="P70" s="15">
        <f>IF(SUM(D70:O70)=0,"0",AVERAGEIF(D70:O70,"&lt;&gt;0",D70:O70))</f>
      </c>
      <c r="Q70" s="14"/>
    </row>
    <row r="71">
      <c r="A71" s="34">
        <v>70</v>
      </c>
      <c r="B71" s="39" t="str">
        <v>代理工商业购电价格</v>
      </c>
      <c r="C71" s="34" t="str">
        <v>青海</v>
      </c>
      <c r="D71" s="34">
        <f>D72+D73</f>
      </c>
      <c r="E71" s="34">
        <f>E72+E73</f>
      </c>
      <c r="F71" s="34">
        <f>F72+F73</f>
      </c>
      <c r="G71" s="34">
        <f>G72+G73</f>
      </c>
      <c r="H71" s="34">
        <f>H72+H73</f>
      </c>
      <c r="I71" s="34">
        <f>I72+I73</f>
      </c>
      <c r="J71" s="34">
        <f>J72+J73</f>
      </c>
      <c r="K71" s="34">
        <f>K72+K73</f>
      </c>
      <c r="L71" s="34">
        <f>L72+L73</f>
      </c>
      <c r="M71" s="34">
        <f>M72+M73</f>
      </c>
      <c r="N71" s="34">
        <f>N72+N73</f>
      </c>
      <c r="O71" s="34">
        <f>O72+O73</f>
      </c>
      <c r="P71" s="15">
        <f>IF(SUM(D71:O71)=0,"0",AVERAGEIF(D71:O71,"&lt;&gt;0",D71:O71))</f>
      </c>
      <c r="Q71" s="14"/>
    </row>
    <row r="72">
      <c r="A72" s="34">
        <v>71</v>
      </c>
      <c r="B72" s="39" t="str">
        <v>（1）当月平均购电价格</v>
      </c>
      <c r="C72" s="34" t="str">
        <v>青海</v>
      </c>
      <c r="D72" s="34">
        <v>0.301658</v>
      </c>
      <c r="E72" s="34">
        <v>0.290996</v>
      </c>
      <c r="F72" s="34">
        <v>0.317199</v>
      </c>
      <c r="G72" s="34">
        <v>0.260721</v>
      </c>
      <c r="H72" s="34">
        <v>0.233747</v>
      </c>
      <c r="I72" s="34"/>
      <c r="J72" s="34"/>
      <c r="K72" s="34"/>
      <c r="L72" s="34"/>
      <c r="M72" s="34"/>
      <c r="N72" s="34"/>
      <c r="O72" s="34"/>
      <c r="P72" s="15">
        <f>IF(SUM(D72:O72)=0,"0",AVERAGEIF(D72:O72,"&lt;&gt;0",D72:O72))</f>
      </c>
      <c r="Q72" s="14"/>
    </row>
    <row r="73">
      <c r="A73" s="34">
        <v>72</v>
      </c>
      <c r="B73" s="39" t="str">
        <v>（2）历史偏差电费折价</v>
      </c>
      <c r="C73" s="34" t="str">
        <v>青海</v>
      </c>
      <c r="D73" s="34">
        <v>-0.042657</v>
      </c>
      <c r="E73" s="34">
        <v>-0.008088</v>
      </c>
      <c r="F73" s="34">
        <v>-0.033005</v>
      </c>
      <c r="G73" s="34">
        <v>-0.036765</v>
      </c>
      <c r="H73" s="34">
        <v>-0.013917</v>
      </c>
      <c r="I73" s="34"/>
      <c r="J73" s="34"/>
      <c r="K73" s="34"/>
      <c r="L73" s="34"/>
      <c r="M73" s="34"/>
      <c r="N73" s="34"/>
      <c r="O73" s="34"/>
      <c r="P73" s="15">
        <f>IF(SUM(D73:O73)=0,"0",AVERAGEIF(D73:O73,"&lt;&gt;0",D73:O73))</f>
      </c>
      <c r="Q73" s="14"/>
    </row>
    <row r="74">
      <c r="A74" s="34">
        <v>73</v>
      </c>
      <c r="B74" s="37" t="str">
        <v>代理工商业购电价格</v>
      </c>
      <c r="C74" s="36" t="str">
        <v>宁夏</v>
      </c>
      <c r="D74" s="36">
        <f>D75+D76</f>
      </c>
      <c r="E74" s="36">
        <f>E75+E76</f>
      </c>
      <c r="F74" s="36">
        <f>F75+F76</f>
      </c>
      <c r="G74" s="36">
        <f>G75+G76</f>
      </c>
      <c r="H74" s="36">
        <f>H75+H76</f>
      </c>
      <c r="I74" s="36">
        <f>I75+I76</f>
      </c>
      <c r="J74" s="36">
        <f>J75+J76</f>
      </c>
      <c r="K74" s="36">
        <f>K75+K76</f>
      </c>
      <c r="L74" s="36">
        <f>L75+L76</f>
      </c>
      <c r="M74" s="36">
        <f>M75+M76</f>
      </c>
      <c r="N74" s="36">
        <f>N75+N76</f>
      </c>
      <c r="O74" s="36">
        <f>O75+O76</f>
      </c>
      <c r="P74" s="15">
        <f>IF(SUM(D74:O74)=0,"0",AVERAGEIF(D74:O74,"&lt;&gt;0",D74:O74))</f>
      </c>
      <c r="Q74" s="14"/>
    </row>
    <row r="75">
      <c r="A75" s="34">
        <v>74</v>
      </c>
      <c r="B75" s="37" t="str">
        <v>（1）当月平均购电价格</v>
      </c>
      <c r="C75" s="36" t="str">
        <v>宁夏</v>
      </c>
      <c r="D75" s="36">
        <v>0.2555</v>
      </c>
      <c r="E75" s="36">
        <v>0.2556</v>
      </c>
      <c r="F75" s="36">
        <v>0.2425</v>
      </c>
      <c r="G75" s="36">
        <v>0.2385</v>
      </c>
      <c r="H75" s="36">
        <v>0.2385</v>
      </c>
      <c r="I75" s="36"/>
      <c r="J75" s="36"/>
      <c r="K75" s="36"/>
      <c r="L75" s="36"/>
      <c r="M75" s="36"/>
      <c r="N75" s="36"/>
      <c r="O75" s="36"/>
      <c r="P75" s="15">
        <f>IF(SUM(D75:O75)=0,"0",AVERAGEIF(D75:O75,"&lt;&gt;0",D75:O75))</f>
      </c>
      <c r="Q75" s="14"/>
    </row>
    <row r="76">
      <c r="A76" s="34">
        <v>75</v>
      </c>
      <c r="B76" s="37" t="str">
        <v>（2）历史偏差电费折价</v>
      </c>
      <c r="C76" s="36" t="str">
        <v>宁夏</v>
      </c>
      <c r="D76" s="36">
        <v>-0.0006</v>
      </c>
      <c r="E76" s="36">
        <v>0.0063</v>
      </c>
      <c r="F76" s="36">
        <v>0.0126</v>
      </c>
      <c r="G76" s="36">
        <v>0.023</v>
      </c>
      <c r="H76" s="36">
        <v>0.0295</v>
      </c>
      <c r="I76" s="36"/>
      <c r="J76" s="36"/>
      <c r="K76" s="36"/>
      <c r="L76" s="36"/>
      <c r="M76" s="36"/>
      <c r="N76" s="36"/>
      <c r="O76" s="36"/>
      <c r="P76" s="15">
        <f>IF(SUM(D76:O76)=0,"0",AVERAGEIF(D76:O76,"&lt;&gt;0",D76:O76))</f>
      </c>
      <c r="Q76" s="14"/>
    </row>
    <row r="77">
      <c r="A77" s="34">
        <v>76</v>
      </c>
      <c r="B77" s="39" t="str">
        <v>代理工商业购电价格</v>
      </c>
      <c r="C77" s="34" t="str">
        <v>新疆</v>
      </c>
      <c r="D77" s="34">
        <f>D78+D79</f>
      </c>
      <c r="E77" s="34">
        <f>E78+E79</f>
      </c>
      <c r="F77" s="34">
        <f>F78+F79</f>
      </c>
      <c r="G77" s="34">
        <f>G78+G79</f>
      </c>
      <c r="H77" s="34">
        <f>H78+H79</f>
      </c>
      <c r="I77" s="34">
        <f>I78+I79</f>
      </c>
      <c r="J77" s="34">
        <f>J78+J79</f>
      </c>
      <c r="K77" s="34">
        <f>K78+K79</f>
      </c>
      <c r="L77" s="34">
        <f>L78+L79</f>
      </c>
      <c r="M77" s="34">
        <f>M78+M79</f>
      </c>
      <c r="N77" s="34">
        <f>N78+N79</f>
      </c>
      <c r="O77" s="34">
        <f>O78+O79</f>
      </c>
      <c r="P77" s="15">
        <f>IF(SUM(D77:O77)=0,"0",AVERAGEIF(D77:O77,"&lt;&gt;0",D77:O77))</f>
      </c>
      <c r="Q77" s="14"/>
    </row>
    <row r="78">
      <c r="A78" s="34">
        <v>77</v>
      </c>
      <c r="B78" s="39" t="str">
        <v>（1）当月平均购电价格</v>
      </c>
      <c r="C78" s="34" t="str">
        <v>新疆</v>
      </c>
      <c r="D78" s="34">
        <v>0.232171</v>
      </c>
      <c r="E78" s="34">
        <v>0.226804</v>
      </c>
      <c r="F78" s="34">
        <v>0.25589</v>
      </c>
      <c r="G78" s="34">
        <v>0.173007</v>
      </c>
      <c r="H78" s="34">
        <v>0.170183</v>
      </c>
      <c r="I78" s="34"/>
      <c r="J78" s="34"/>
      <c r="K78" s="34"/>
      <c r="L78" s="34"/>
      <c r="M78" s="34"/>
      <c r="N78" s="34"/>
      <c r="O78" s="34"/>
      <c r="P78" s="15">
        <f>IF(SUM(D78:O78)=0,"0",AVERAGEIF(D78:O78,"&lt;&gt;0",D78:O78))</f>
      </c>
      <c r="Q78" s="14"/>
    </row>
    <row r="79">
      <c r="A79" s="34">
        <v>78</v>
      </c>
      <c r="B79" s="39" t="str">
        <v>（2）历史偏差电费折价</v>
      </c>
      <c r="C79" s="34" t="str">
        <v>新疆</v>
      </c>
      <c r="D79" s="34">
        <v>0.003881</v>
      </c>
      <c r="E79" s="34">
        <v>0.054162</v>
      </c>
      <c r="F79" s="34">
        <v>0.066024</v>
      </c>
      <c r="G79" s="34">
        <v>0.055714</v>
      </c>
      <c r="H79" s="34">
        <v>0.067463</v>
      </c>
      <c r="I79" s="34"/>
      <c r="J79" s="34"/>
      <c r="K79" s="34"/>
      <c r="L79" s="34"/>
      <c r="M79" s="34"/>
      <c r="N79" s="34"/>
      <c r="O79" s="34"/>
      <c r="P79" s="15">
        <f>IF(SUM(D79:O79)=0,"0",AVERAGEIF(D79:O79,"&lt;&gt;0",D79:O79))</f>
      </c>
      <c r="Q79" s="14"/>
    </row>
    <row r="80">
      <c r="A80" s="34">
        <v>79</v>
      </c>
      <c r="B80" s="37" t="str">
        <v>代理工商业购电价格</v>
      </c>
      <c r="C80" s="36" t="str">
        <v>重庆</v>
      </c>
      <c r="D80" s="36">
        <f>D81+D82</f>
      </c>
      <c r="E80" s="36">
        <f>E81+E82</f>
      </c>
      <c r="F80" s="36">
        <f>F81+F82</f>
      </c>
      <c r="G80" s="36">
        <f>G81+G82</f>
      </c>
      <c r="H80" s="36">
        <f>H81+H82</f>
      </c>
      <c r="I80" s="36">
        <f>I81+I82</f>
      </c>
      <c r="J80" s="36">
        <f>J81+J82</f>
      </c>
      <c r="K80" s="36">
        <f>K81+K82</f>
      </c>
      <c r="L80" s="36">
        <f>L81+L82</f>
      </c>
      <c r="M80" s="36">
        <f>M81+M82</f>
      </c>
      <c r="N80" s="36">
        <f>N81+N82</f>
      </c>
      <c r="O80" s="36">
        <f>O81+O82</f>
      </c>
      <c r="P80" s="15">
        <f>IF(SUM(D80:O80)=0,"0",AVERAGEIF(D80:O80,"&lt;&gt;0",D80:O80))</f>
      </c>
      <c r="Q80" s="14"/>
    </row>
    <row r="81">
      <c r="A81" s="34">
        <v>80</v>
      </c>
      <c r="B81" s="37" t="str">
        <v>（1）当月平均购电价格</v>
      </c>
      <c r="C81" s="36" t="str">
        <v>重庆</v>
      </c>
      <c r="D81" s="36">
        <v>0.431551</v>
      </c>
      <c r="E81" s="36">
        <v>0.453163</v>
      </c>
      <c r="F81" s="36">
        <v>0.437647</v>
      </c>
      <c r="G81" s="36">
        <v>0.444074</v>
      </c>
      <c r="H81" s="36">
        <v>0.437098</v>
      </c>
      <c r="I81" s="36"/>
      <c r="J81" s="36"/>
      <c r="K81" s="36"/>
      <c r="L81" s="36"/>
      <c r="M81" s="36"/>
      <c r="N81" s="36"/>
      <c r="O81" s="36"/>
      <c r="P81" s="15">
        <f>IF(SUM(D81:O81)=0,"0",AVERAGEIF(D81:O81,"&lt;&gt;0",D81:O81))</f>
      </c>
      <c r="Q81" s="14"/>
    </row>
    <row r="82">
      <c r="A82" s="34">
        <v>81</v>
      </c>
      <c r="B82" s="37" t="str">
        <v>（2）历史偏差电费折价</v>
      </c>
      <c r="C82" s="36" t="str">
        <v>重庆</v>
      </c>
      <c r="D82" s="36">
        <v>0.000368</v>
      </c>
      <c r="E82" s="36">
        <v>0.016366</v>
      </c>
      <c r="F82" s="36">
        <v>0.014095</v>
      </c>
      <c r="G82" s="36">
        <v>-0.000796</v>
      </c>
      <c r="H82" s="36">
        <v>0.026401</v>
      </c>
      <c r="I82" s="36"/>
      <c r="J82" s="36"/>
      <c r="K82" s="36"/>
      <c r="L82" s="36"/>
      <c r="M82" s="36"/>
      <c r="N82" s="36"/>
      <c r="O82" s="36"/>
      <c r="P82" s="15">
        <f>IF(SUM(D82:O82)=0,"0",AVERAGEIF(D82:O82,"&lt;&gt;0",D82:O82))</f>
      </c>
      <c r="Q82" s="14"/>
    </row>
    <row r="83">
      <c r="A83" s="34">
        <v>82</v>
      </c>
      <c r="B83" s="39" t="str">
        <v>代理工商业购电价格</v>
      </c>
      <c r="C83" s="34" t="str">
        <v>四川</v>
      </c>
      <c r="D83" s="34">
        <f>D84+D85</f>
      </c>
      <c r="E83" s="34">
        <f>E84+E85</f>
      </c>
      <c r="F83" s="34">
        <f>F84+F85</f>
      </c>
      <c r="G83" s="34">
        <f>G84+G85</f>
      </c>
      <c r="H83" s="34">
        <f>H84+H85</f>
      </c>
      <c r="I83" s="34">
        <f>I84+I85</f>
      </c>
      <c r="J83" s="34">
        <f>J84+J85</f>
      </c>
      <c r="K83" s="34">
        <f>K84+K85</f>
      </c>
      <c r="L83" s="34">
        <f>L84+L85</f>
      </c>
      <c r="M83" s="34">
        <f>M84+M85</f>
      </c>
      <c r="N83" s="34">
        <f>N84+N85</f>
      </c>
      <c r="O83" s="34">
        <f>O84+O85</f>
      </c>
      <c r="P83" s="15">
        <f>IF(SUM(D83:O83)=0,"0",AVERAGEIF(D83:O83,"&lt;&gt;0",D83:O83))</f>
      </c>
      <c r="Q83" s="14"/>
    </row>
    <row r="84">
      <c r="A84" s="34">
        <v>83</v>
      </c>
      <c r="B84" s="39" t="str">
        <v>（1）当月平均购电价格</v>
      </c>
      <c r="C84" s="34" t="str">
        <v>四川</v>
      </c>
      <c r="D84" s="34">
        <v>0.422843</v>
      </c>
      <c r="E84" s="34">
        <v>0.4126</v>
      </c>
      <c r="F84" s="34">
        <v>0.420719</v>
      </c>
      <c r="G84" s="34">
        <v>0.409366</v>
      </c>
      <c r="H84" s="34">
        <v>0.34624</v>
      </c>
      <c r="I84" s="34"/>
      <c r="J84" s="34"/>
      <c r="K84" s="34"/>
      <c r="L84" s="34"/>
      <c r="M84" s="34"/>
      <c r="N84" s="34"/>
      <c r="O84" s="34"/>
      <c r="P84" s="15">
        <f>IF(SUM(D84:O84)=0,"0",AVERAGEIF(D84:O84,"&lt;&gt;0",D84:O84))</f>
      </c>
      <c r="Q84" s="14"/>
    </row>
    <row r="85">
      <c r="A85" s="34">
        <v>84</v>
      </c>
      <c r="B85" s="39" t="str">
        <v>（2）历史偏差电费折价</v>
      </c>
      <c r="C85" s="34" t="str">
        <v>四川</v>
      </c>
      <c r="D85" s="34">
        <v>0</v>
      </c>
      <c r="E85" s="34">
        <v>0.001306</v>
      </c>
      <c r="F85" s="34">
        <v>0</v>
      </c>
      <c r="G85" s="34">
        <v>-0.020501</v>
      </c>
      <c r="H85" s="34">
        <v>-0.011064</v>
      </c>
      <c r="I85" s="34"/>
      <c r="J85" s="34"/>
      <c r="K85" s="34"/>
      <c r="L85" s="34"/>
      <c r="M85" s="34"/>
      <c r="N85" s="34"/>
      <c r="O85" s="34"/>
      <c r="P85" s="15">
        <f>IF(SUM(D85:O85)=0,"0",AVERAGEIF(D85:O85,"&lt;&gt;0",D85:O85))</f>
      </c>
      <c r="Q85" s="14"/>
    </row>
    <row r="86">
      <c r="A86" s="34">
        <v>85</v>
      </c>
      <c r="B86" s="37" t="str">
        <v>代理工商业购电价格</v>
      </c>
      <c r="C86" s="36" t="str">
        <v>广东</v>
      </c>
      <c r="D86" s="36">
        <f>D87+D88</f>
      </c>
      <c r="E86" s="36">
        <f>E87+E88</f>
      </c>
      <c r="F86" s="36">
        <f>F87+F88</f>
      </c>
      <c r="G86" s="36">
        <f>G87+G88</f>
      </c>
      <c r="H86" s="36">
        <f>H87+H88</f>
      </c>
      <c r="I86" s="36">
        <f>I87+I88</f>
      </c>
      <c r="J86" s="36">
        <f>J87+J88</f>
      </c>
      <c r="K86" s="36">
        <f>K87+K88</f>
      </c>
      <c r="L86" s="36">
        <f>L87+L88</f>
      </c>
      <c r="M86" s="36">
        <f>M87+M88</f>
      </c>
      <c r="N86" s="36">
        <f>N87+N88</f>
      </c>
      <c r="O86" s="36">
        <f>O87+O88</f>
      </c>
      <c r="P86" s="15">
        <f>IF(SUM(D86:O86)=0,"0",AVERAGEIF(D86:O86,"&lt;&gt;0",D86:O86))</f>
      </c>
      <c r="Q86" s="14"/>
    </row>
    <row r="87">
      <c r="A87" s="34">
        <v>86</v>
      </c>
      <c r="B87" s="37" t="str">
        <v>（1）当月平均购电价格</v>
      </c>
      <c r="C87" s="36" t="str">
        <v>广东</v>
      </c>
      <c r="D87" s="36">
        <v>0.3687</v>
      </c>
      <c r="E87" s="36">
        <v>0.3745</v>
      </c>
      <c r="F87" s="36">
        <v>0.3827</v>
      </c>
      <c r="G87" s="36">
        <v>0.3808</v>
      </c>
      <c r="H87" s="36">
        <v>0.4249</v>
      </c>
      <c r="I87" s="36"/>
      <c r="J87" s="36"/>
      <c r="K87" s="36"/>
      <c r="L87" s="36"/>
      <c r="M87" s="36"/>
      <c r="N87" s="36"/>
      <c r="O87" s="36"/>
      <c r="P87" s="15">
        <f>IF(SUM(D87:O87)=0,"0",AVERAGEIF(D87:O87,"&lt;&gt;0",D87:O87))</f>
      </c>
      <c r="Q87" s="14"/>
    </row>
    <row r="88">
      <c r="A88" s="34">
        <v>87</v>
      </c>
      <c r="B88" s="37" t="str">
        <v>（2）历史偏差电费折价</v>
      </c>
      <c r="C88" s="36" t="str">
        <v>广东</v>
      </c>
      <c r="D88" s="36">
        <v>0.0102</v>
      </c>
      <c r="E88" s="36">
        <v>0.0383</v>
      </c>
      <c r="F88" s="36">
        <v>0.0351</v>
      </c>
      <c r="G88" s="36">
        <v>0.0235</v>
      </c>
      <c r="H88" s="36">
        <v>0.0208</v>
      </c>
      <c r="I88" s="36"/>
      <c r="J88" s="36"/>
      <c r="K88" s="36"/>
      <c r="L88" s="36"/>
      <c r="M88" s="36"/>
      <c r="N88" s="36"/>
      <c r="O88" s="36"/>
      <c r="P88" s="15">
        <f>IF(SUM(D88:O88)=0,"0",AVERAGEIF(D88:O88,"&lt;&gt;0",D88:O88))</f>
      </c>
      <c r="Q88" s="14"/>
    </row>
    <row r="89">
      <c r="A89" s="34">
        <v>88</v>
      </c>
      <c r="B89" s="39" t="str">
        <v>代理工商业购电价格</v>
      </c>
      <c r="C89" s="34" t="str">
        <v>广西</v>
      </c>
      <c r="D89" s="34">
        <f>D90+D91</f>
      </c>
      <c r="E89" s="34">
        <f>E90+E91</f>
      </c>
      <c r="F89" s="34">
        <f>F90+F91</f>
      </c>
      <c r="G89" s="34">
        <f>G90+G91</f>
      </c>
      <c r="H89" s="34">
        <f>H90+H91</f>
      </c>
      <c r="I89" s="34">
        <f>I90+I91</f>
      </c>
      <c r="J89" s="34">
        <f>J90+J91</f>
      </c>
      <c r="K89" s="34">
        <f>K90+K91</f>
      </c>
      <c r="L89" s="34">
        <f>L90+L91</f>
      </c>
      <c r="M89" s="34">
        <f>M90+M91</f>
      </c>
      <c r="N89" s="34">
        <f>N90+N91</f>
      </c>
      <c r="O89" s="34">
        <f>O90+O91</f>
      </c>
      <c r="P89" s="15">
        <f>IF(SUM(D89:O89)=0,"0",AVERAGEIF(D89:O89,"&lt;&gt;0",D89:O89))</f>
      </c>
      <c r="Q89" s="14"/>
    </row>
    <row r="90">
      <c r="A90" s="34">
        <v>89</v>
      </c>
      <c r="B90" s="39" t="str">
        <v>（1）当月平均购电价格</v>
      </c>
      <c r="C90" s="34" t="str">
        <v>广西</v>
      </c>
      <c r="D90" s="34">
        <v>0.342563</v>
      </c>
      <c r="E90" s="34">
        <v>0.35865</v>
      </c>
      <c r="F90" s="34">
        <v>0.337625</v>
      </c>
      <c r="G90" s="34">
        <v>0.346905</v>
      </c>
      <c r="H90" s="34">
        <v>0.33699</v>
      </c>
      <c r="I90" s="34"/>
      <c r="J90" s="34"/>
      <c r="K90" s="34"/>
      <c r="L90" s="34"/>
      <c r="M90" s="34"/>
      <c r="N90" s="34"/>
      <c r="O90" s="34"/>
      <c r="P90" s="15">
        <f>IF(SUM(D90:O90)=0,"0",AVERAGEIF(D90:O90,"&lt;&gt;0",D90:O90))</f>
      </c>
      <c r="Q90" s="14"/>
    </row>
    <row r="91">
      <c r="A91" s="34">
        <v>90</v>
      </c>
      <c r="B91" s="39" t="str">
        <v>（2）历史偏差电费折价</v>
      </c>
      <c r="C91" s="34" t="str">
        <v>广西</v>
      </c>
      <c r="D91" s="34">
        <v>0.017614</v>
      </c>
      <c r="E91" s="34">
        <v>0.01984</v>
      </c>
      <c r="F91" s="34">
        <v>-0.024239</v>
      </c>
      <c r="G91" s="34">
        <v>-0.012229</v>
      </c>
      <c r="H91" s="34">
        <v>-0.002929</v>
      </c>
      <c r="I91" s="34"/>
      <c r="J91" s="34"/>
      <c r="K91" s="34"/>
      <c r="L91" s="34"/>
      <c r="M91" s="34"/>
      <c r="N91" s="34"/>
      <c r="O91" s="34"/>
      <c r="P91" s="15">
        <f>IF(SUM(D91:O91)=0,"0",AVERAGEIF(D91:O91,"&lt;&gt;0",D91:O91))</f>
      </c>
      <c r="Q91" s="14"/>
    </row>
    <row r="92">
      <c r="A92" s="34">
        <v>91</v>
      </c>
      <c r="B92" s="37" t="str">
        <v>代理工商业购电价格</v>
      </c>
      <c r="C92" s="36" t="str">
        <v>云南</v>
      </c>
      <c r="D92" s="36">
        <f>D93+D94</f>
      </c>
      <c r="E92" s="36">
        <f>E93+E94</f>
      </c>
      <c r="F92" s="36">
        <f>F93+F94</f>
      </c>
      <c r="G92" s="36">
        <f>G93+G94</f>
      </c>
      <c r="H92" s="36">
        <f>H93+H94</f>
      </c>
      <c r="I92" s="36">
        <f>I93+I94</f>
      </c>
      <c r="J92" s="36">
        <f>J93+J94</f>
      </c>
      <c r="K92" s="36">
        <f>K93+K94</f>
      </c>
      <c r="L92" s="36">
        <f>L93+L94</f>
      </c>
      <c r="M92" s="36">
        <f>M93+M94</f>
      </c>
      <c r="N92" s="36">
        <f>N93+N94</f>
      </c>
      <c r="O92" s="36">
        <f>O93+O94</f>
      </c>
      <c r="P92" s="15">
        <f>IF(SUM(D92:O92)=0,"0",AVERAGEIF(D92:O92,"&lt;&gt;0",D92:O92))</f>
      </c>
      <c r="Q92" s="14"/>
    </row>
    <row r="93">
      <c r="A93" s="34">
        <v>92</v>
      </c>
      <c r="B93" s="37" t="str">
        <v>（1）当月平均购电价格</v>
      </c>
      <c r="C93" s="36" t="str">
        <v>云南</v>
      </c>
      <c r="D93" s="36">
        <v>0.26506</v>
      </c>
      <c r="E93" s="36">
        <v>0.262856</v>
      </c>
      <c r="F93" s="36">
        <v>0.264539</v>
      </c>
      <c r="G93" s="36">
        <v>0.267327</v>
      </c>
      <c r="H93" s="36">
        <v>0.257092</v>
      </c>
      <c r="I93" s="36"/>
      <c r="J93" s="36"/>
      <c r="K93" s="36"/>
      <c r="L93" s="36"/>
      <c r="M93" s="36"/>
      <c r="N93" s="36"/>
      <c r="O93" s="36"/>
      <c r="P93" s="15">
        <f>IF(SUM(D93:O93)=0,"0",AVERAGEIF(D93:O93,"&lt;&gt;0",D93:O93))</f>
      </c>
      <c r="Q93" s="14"/>
    </row>
    <row r="94">
      <c r="A94" s="34">
        <v>93</v>
      </c>
      <c r="B94" s="37" t="str">
        <v>（2）历史偏差电费折价</v>
      </c>
      <c r="C94" s="36" t="str">
        <v>云南</v>
      </c>
      <c r="D94" s="36">
        <v>-0.021183</v>
      </c>
      <c r="E94" s="36">
        <v>-0.007665</v>
      </c>
      <c r="F94" s="36">
        <v>0.023733</v>
      </c>
      <c r="G94" s="36">
        <v>0.033021</v>
      </c>
      <c r="H94" s="36">
        <v>0.022255</v>
      </c>
      <c r="I94" s="36"/>
      <c r="J94" s="36"/>
      <c r="K94" s="36"/>
      <c r="L94" s="36"/>
      <c r="M94" s="36"/>
      <c r="N94" s="36"/>
      <c r="O94" s="36"/>
      <c r="P94" s="15">
        <f>IF(SUM(D94:O94)=0,"0",AVERAGEIF(D94:O94,"&lt;&gt;0",D94:O94))</f>
      </c>
      <c r="Q94" s="14"/>
    </row>
    <row r="95">
      <c r="A95" s="34">
        <v>94</v>
      </c>
      <c r="B95" s="39" t="str">
        <v>代理工商业购电价格</v>
      </c>
      <c r="C95" s="34" t="str">
        <v>贵州</v>
      </c>
      <c r="D95" s="34">
        <f>D96+D97</f>
      </c>
      <c r="E95" s="34">
        <f>E96+E97</f>
      </c>
      <c r="F95" s="34">
        <f>F96+F97</f>
      </c>
      <c r="G95" s="34">
        <f>G96+G97</f>
      </c>
      <c r="H95" s="34">
        <f>H96+H97</f>
      </c>
      <c r="I95" s="34">
        <f>I96+I97</f>
      </c>
      <c r="J95" s="34">
        <f>J96+J97</f>
      </c>
      <c r="K95" s="34">
        <f>K96+K97</f>
      </c>
      <c r="L95" s="34">
        <f>L96+L97</f>
      </c>
      <c r="M95" s="34">
        <f>M96+M97</f>
      </c>
      <c r="N95" s="34">
        <f>N96+N97</f>
      </c>
      <c r="O95" s="34">
        <f>O96+O97</f>
      </c>
      <c r="P95" s="15">
        <f>IF(SUM(D95:O95)=0,"0",AVERAGEIF(D95:O95,"&lt;&gt;0",D95:O95))</f>
      </c>
      <c r="Q95" s="14"/>
    </row>
    <row r="96">
      <c r="A96" s="34">
        <v>95</v>
      </c>
      <c r="B96" s="39" t="str">
        <v>（1）当月平均购电价格</v>
      </c>
      <c r="C96" s="34" t="str">
        <v>贵州</v>
      </c>
      <c r="D96" s="34">
        <v>0.374558</v>
      </c>
      <c r="E96" s="34">
        <v>0.382894</v>
      </c>
      <c r="F96" s="34">
        <v>0.383704</v>
      </c>
      <c r="G96" s="34">
        <v>0.375721</v>
      </c>
      <c r="H96" s="34">
        <v>0.379745</v>
      </c>
      <c r="I96" s="34"/>
      <c r="J96" s="34"/>
      <c r="K96" s="34"/>
      <c r="L96" s="34"/>
      <c r="M96" s="34"/>
      <c r="N96" s="34"/>
      <c r="O96" s="34"/>
      <c r="P96" s="15">
        <f>IF(SUM(D96:O96)=0,"0",AVERAGEIF(D96:O96,"&lt;&gt;0",D96:O96))</f>
      </c>
      <c r="Q96" s="14"/>
    </row>
    <row r="97">
      <c r="A97" s="34">
        <v>96</v>
      </c>
      <c r="B97" s="39" t="str">
        <v>（2）历史偏差电费折价</v>
      </c>
      <c r="C97" s="34" t="str">
        <v>贵州</v>
      </c>
      <c r="D97" s="34">
        <v>-0.00104</v>
      </c>
      <c r="E97" s="34">
        <v>0.009852</v>
      </c>
      <c r="F97" s="34">
        <v>0.001194</v>
      </c>
      <c r="G97" s="34">
        <v>-0.009337</v>
      </c>
      <c r="H97" s="34">
        <v>0.004203</v>
      </c>
      <c r="I97" s="34"/>
      <c r="J97" s="34"/>
      <c r="K97" s="34"/>
      <c r="L97" s="34"/>
      <c r="M97" s="34"/>
      <c r="N97" s="34"/>
      <c r="O97" s="34"/>
      <c r="P97" s="15">
        <f>IF(SUM(D97:O97)=0,"0",AVERAGEIF(D97:O97,"&lt;&gt;0",D97:O97))</f>
      </c>
      <c r="Q97" s="14"/>
    </row>
    <row r="98">
      <c r="A98" s="34">
        <v>97</v>
      </c>
      <c r="B98" s="37" t="str">
        <v>代理工商业购电价格</v>
      </c>
      <c r="C98" s="36" t="str">
        <v>海南</v>
      </c>
      <c r="D98" s="36">
        <f>D99+D100</f>
      </c>
      <c r="E98" s="36">
        <f>E99+E100</f>
      </c>
      <c r="F98" s="36">
        <f>F99+F100</f>
      </c>
      <c r="G98" s="36">
        <f>G99+G100</f>
      </c>
      <c r="H98" s="36">
        <f>H99+H100</f>
      </c>
      <c r="I98" s="36">
        <f>I99+I100</f>
      </c>
      <c r="J98" s="36">
        <f>J99+J100</f>
      </c>
      <c r="K98" s="36">
        <f>K99+K100</f>
      </c>
      <c r="L98" s="36">
        <f>L99+L100</f>
      </c>
      <c r="M98" s="36">
        <f>M99+M100</f>
      </c>
      <c r="N98" s="36">
        <f>N99+N100</f>
      </c>
      <c r="O98" s="36">
        <f>O99+O100</f>
      </c>
      <c r="P98" s="15">
        <f>IF(SUM(D98:O98)=0,"0",AVERAGEIF(D98:O98,"&lt;&gt;0",D98:O98))</f>
      </c>
      <c r="Q98" s="14"/>
    </row>
    <row r="99">
      <c r="A99" s="34">
        <v>98</v>
      </c>
      <c r="B99" s="37" t="str">
        <v>（1）当月平均购电价格</v>
      </c>
      <c r="C99" s="36" t="str">
        <v>海南</v>
      </c>
      <c r="D99" s="36">
        <v>0.4298</v>
      </c>
      <c r="E99" s="36">
        <v>0.379944</v>
      </c>
      <c r="F99" s="36">
        <v>0.353063</v>
      </c>
      <c r="G99" s="36">
        <v>0.371881</v>
      </c>
      <c r="H99" s="36">
        <v>0.417483</v>
      </c>
      <c r="I99" s="36"/>
      <c r="J99" s="36"/>
      <c r="K99" s="36"/>
      <c r="L99" s="36"/>
      <c r="M99" s="36"/>
      <c r="N99" s="36"/>
      <c r="O99" s="36"/>
      <c r="P99" s="15">
        <f>IF(SUM(D99:O99)=0,"0",AVERAGEIF(D99:O99,"&lt;&gt;0",D99:O99))</f>
      </c>
      <c r="Q99" s="14"/>
    </row>
    <row r="100">
      <c r="A100" s="34">
        <v>99</v>
      </c>
      <c r="B100" s="37" t="str">
        <v>（2）历史偏差电费折价</v>
      </c>
      <c r="C100" s="36" t="str">
        <v>海南</v>
      </c>
      <c r="D100" s="36">
        <v>0.193445</v>
      </c>
      <c r="E100" s="36">
        <v>0.059303</v>
      </c>
      <c r="F100" s="36">
        <v>0.043943</v>
      </c>
      <c r="G100" s="36">
        <v>0.042775</v>
      </c>
      <c r="H100" s="36">
        <v>0.035268</v>
      </c>
      <c r="I100" s="36"/>
      <c r="J100" s="36"/>
      <c r="K100" s="36"/>
      <c r="L100" s="36"/>
      <c r="M100" s="36"/>
      <c r="N100" s="36"/>
      <c r="O100" s="36"/>
      <c r="P100" s="15">
        <f>IF(SUM(D100:O100)=0,"0",AVERAGEIF(D100:O100,"&lt;&gt;0",D100:O100))</f>
      </c>
      <c r="Q100" s="14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6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0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</cols>
  <sheetData>
    <row customHeight="true" ht="19" r="1">
      <c r="A1" s="12" t="str">
        <v>序号</v>
      </c>
      <c r="B1" s="51" t="str">
        <v>2026年上网环节线损费用折价</v>
      </c>
      <c r="C1" s="12" t="str">
        <v>1月</v>
      </c>
      <c r="D1" s="12" t="str">
        <v>2月</v>
      </c>
      <c r="E1" s="12" t="str">
        <v>3月</v>
      </c>
      <c r="F1" s="12" t="str">
        <v>4月</v>
      </c>
      <c r="G1" s="12" t="str">
        <v>5月</v>
      </c>
      <c r="H1" s="12" t="str">
        <v>6月</v>
      </c>
      <c r="I1" s="12" t="str">
        <v>7月</v>
      </c>
      <c r="J1" s="12" t="str">
        <v>8月</v>
      </c>
      <c r="K1" s="12" t="str">
        <v>9月</v>
      </c>
      <c r="L1" s="12" t="str">
        <v>10月</v>
      </c>
      <c r="M1" s="12" t="str">
        <v>11月</v>
      </c>
      <c r="N1" s="12" t="str">
        <v>12月</v>
      </c>
      <c r="O1" s="50" t="str">
        <v>年均</v>
      </c>
      <c r="P1" s="50" t="str">
        <v>趋势图</v>
      </c>
    </row>
    <row customHeight="true" ht="19" r="2">
      <c r="A2" s="34">
        <v>1</v>
      </c>
      <c r="B2" s="34" t="str">
        <v>北京</v>
      </c>
      <c r="C2" s="34">
        <v>0.011414</v>
      </c>
      <c r="D2" s="34">
        <v>0.011381</v>
      </c>
      <c r="E2" s="34">
        <v>0.011381</v>
      </c>
      <c r="F2" s="34">
        <v>0.011381</v>
      </c>
      <c r="G2" s="34">
        <v>0.011381</v>
      </c>
      <c r="H2" s="34"/>
      <c r="I2" s="34"/>
      <c r="J2" s="34"/>
      <c r="K2" s="34"/>
      <c r="L2" s="34"/>
      <c r="M2" s="34"/>
      <c r="N2" s="34"/>
      <c r="O2" s="15">
        <f>IF(SUM(C2:N2)=0,"0",AVERAGEIF(C2:N2,"&lt;&gt;0",C2:N2))</f>
      </c>
      <c r="P2" s="14"/>
    </row>
    <row customHeight="true" ht="19" r="3">
      <c r="A3" s="34">
        <v>2</v>
      </c>
      <c r="B3" s="36" t="str">
        <v>天津</v>
      </c>
      <c r="C3" s="36">
        <v>0.016229</v>
      </c>
      <c r="D3" s="36">
        <v>0.016119</v>
      </c>
      <c r="E3" s="36">
        <v>0.016134</v>
      </c>
      <c r="F3" s="36">
        <v>0.016178</v>
      </c>
      <c r="G3" s="36">
        <v>0.016133</v>
      </c>
      <c r="H3" s="36"/>
      <c r="I3" s="36"/>
      <c r="J3" s="36"/>
      <c r="K3" s="36"/>
      <c r="L3" s="36"/>
      <c r="M3" s="36"/>
      <c r="N3" s="36"/>
      <c r="O3" s="15">
        <f>IF(SUM(C3:N3)=0,"0",AVERAGEIF(C3:N3,"&lt;&gt;0",C3:N3))</f>
      </c>
      <c r="P3" s="14"/>
    </row>
    <row customHeight="true" ht="19" r="4">
      <c r="A4" s="34">
        <v>3</v>
      </c>
      <c r="B4" s="34" t="str">
        <v>河北南网</v>
      </c>
      <c r="C4" s="34">
        <v>0.022091</v>
      </c>
      <c r="D4" s="34">
        <v>0.021364</v>
      </c>
      <c r="E4" s="34">
        <v>0.021081</v>
      </c>
      <c r="F4" s="34">
        <v>0.024398</v>
      </c>
      <c r="G4" s="34">
        <v>0.023756</v>
      </c>
      <c r="H4" s="34"/>
      <c r="I4" s="34"/>
      <c r="J4" s="34"/>
      <c r="K4" s="34"/>
      <c r="L4" s="34"/>
      <c r="M4" s="34"/>
      <c r="N4" s="34"/>
      <c r="O4" s="15">
        <f>IF(SUM(C4:N4)=0,"0",AVERAGEIF(C4:N4,"&lt;&gt;0",C4:N4))</f>
      </c>
      <c r="P4" s="14"/>
    </row>
    <row customHeight="true" ht="19" r="5">
      <c r="A5" s="34">
        <v>4</v>
      </c>
      <c r="B5" s="36" t="str">
        <v>冀北</v>
      </c>
      <c r="C5" s="36">
        <v>0.016433</v>
      </c>
      <c r="D5" s="36">
        <v>0.016405</v>
      </c>
      <c r="E5" s="36">
        <v>0.016441</v>
      </c>
      <c r="F5" s="36">
        <v>0.016513</v>
      </c>
      <c r="G5" s="36">
        <v>0.016521</v>
      </c>
      <c r="H5" s="36"/>
      <c r="I5" s="36"/>
      <c r="J5" s="36"/>
      <c r="K5" s="36"/>
      <c r="L5" s="36"/>
      <c r="M5" s="36"/>
      <c r="N5" s="36"/>
      <c r="O5" s="15">
        <f>IF(SUM(C5:N5)=0,"0",AVERAGEIF(C5:N5,"&lt;&gt;0",C5:N5))</f>
      </c>
      <c r="P5" s="14"/>
    </row>
    <row customHeight="true" ht="19" r="6">
      <c r="A6" s="34">
        <v>5</v>
      </c>
      <c r="B6" s="34" t="str">
        <v>山东</v>
      </c>
      <c r="C6" s="34">
        <v>0.0119</v>
      </c>
      <c r="D6" s="34">
        <v>0.0115</v>
      </c>
      <c r="E6" s="34">
        <v>0.0116</v>
      </c>
      <c r="F6" s="34">
        <v>0.0115</v>
      </c>
      <c r="G6" s="34">
        <v>0.0118</v>
      </c>
      <c r="H6" s="34"/>
      <c r="I6" s="34"/>
      <c r="J6" s="34"/>
      <c r="K6" s="34"/>
      <c r="L6" s="34"/>
      <c r="M6" s="34"/>
      <c r="N6" s="34"/>
      <c r="O6" s="15">
        <f>IF(SUM(C6:N6)=0,"0",AVERAGEIF(C6:N6,"&lt;&gt;0",C6:N6))</f>
      </c>
      <c r="P6" s="14"/>
    </row>
    <row customHeight="true" ht="19" r="7">
      <c r="A7" s="34">
        <v>6</v>
      </c>
      <c r="B7" s="36" t="str">
        <v>山西</v>
      </c>
      <c r="C7" s="36">
        <v>0.014417</v>
      </c>
      <c r="D7" s="36">
        <v>0.014205</v>
      </c>
      <c r="E7" s="36">
        <v>0.014018</v>
      </c>
      <c r="F7" s="36">
        <v>0.011532</v>
      </c>
      <c r="G7" s="36">
        <v>0.011205</v>
      </c>
      <c r="H7" s="36"/>
      <c r="I7" s="36"/>
      <c r="J7" s="36"/>
      <c r="K7" s="36"/>
      <c r="L7" s="36"/>
      <c r="M7" s="36"/>
      <c r="N7" s="36"/>
      <c r="O7" s="15">
        <f>IF(SUM(C7:N7)=0,"0",AVERAGEIF(C7:N7,"&lt;&gt;0",C7:N7))</f>
      </c>
      <c r="P7" s="14"/>
    </row>
    <row customHeight="true" ht="19" r="8">
      <c r="A8" s="34">
        <v>7</v>
      </c>
      <c r="B8" s="34" t="str">
        <v>蒙西</v>
      </c>
      <c r="C8" s="34">
        <v>0.0091</v>
      </c>
      <c r="D8" s="34">
        <v>0.0089</v>
      </c>
      <c r="E8" s="34">
        <v>0.009</v>
      </c>
      <c r="F8" s="34">
        <v>0.0088</v>
      </c>
      <c r="G8" s="34">
        <v>0.0087</v>
      </c>
      <c r="H8" s="34"/>
      <c r="I8" s="34"/>
      <c r="J8" s="34"/>
      <c r="K8" s="34"/>
      <c r="L8" s="34"/>
      <c r="M8" s="34"/>
      <c r="N8" s="34"/>
      <c r="O8" s="30">
        <f>IF(SUM(C8:N8)=0,"0",AVERAGEIF(C8:N8,"&lt;&gt;0",C8:N8))</f>
      </c>
      <c r="P8" s="29"/>
    </row>
    <row customHeight="true" ht="19" r="9">
      <c r="A9" s="34">
        <v>8</v>
      </c>
      <c r="B9" s="36" t="str">
        <v>上海</v>
      </c>
      <c r="C9" s="36">
        <v>0.0125</v>
      </c>
      <c r="D9" s="36">
        <v>0.012437</v>
      </c>
      <c r="E9" s="36">
        <v>0.011869</v>
      </c>
      <c r="F9" s="36">
        <v>0.011702</v>
      </c>
      <c r="G9" s="36">
        <v>0.012023</v>
      </c>
      <c r="H9" s="36"/>
      <c r="I9" s="36"/>
      <c r="J9" s="36"/>
      <c r="K9" s="36"/>
      <c r="L9" s="36"/>
      <c r="M9" s="36"/>
      <c r="N9" s="36"/>
      <c r="O9" s="15">
        <f>IF(SUM(C9:N9)=0,"0",AVERAGEIF(C9:N9,"&lt;&gt;0",C9:N9))</f>
      </c>
      <c r="P9" s="14"/>
    </row>
    <row customHeight="true" ht="19" r="10">
      <c r="A10" s="34">
        <v>9</v>
      </c>
      <c r="B10" s="34" t="str">
        <v>江苏</v>
      </c>
      <c r="C10" s="34">
        <v>0.013</v>
      </c>
      <c r="D10" s="34">
        <v>0.0104</v>
      </c>
      <c r="E10" s="34">
        <v>0.0121</v>
      </c>
      <c r="F10" s="34">
        <v>0.0123</v>
      </c>
      <c r="G10" s="34">
        <v>0.012</v>
      </c>
      <c r="H10" s="34"/>
      <c r="I10" s="34"/>
      <c r="J10" s="34"/>
      <c r="K10" s="34"/>
      <c r="L10" s="34"/>
      <c r="M10" s="34"/>
      <c r="N10" s="34"/>
      <c r="O10" s="15">
        <f>IF(SUM(C10:N10)=0,"0",AVERAGEIF(C10:N10,"&lt;&gt;0",C10:N10))</f>
      </c>
      <c r="P10" s="14"/>
    </row>
    <row customHeight="true" ht="19" r="11">
      <c r="A11" s="34">
        <v>10</v>
      </c>
      <c r="B11" s="36" t="str">
        <v>浙江</v>
      </c>
      <c r="C11" s="36">
        <v>0.013871</v>
      </c>
      <c r="D11" s="36">
        <v>0.007591</v>
      </c>
      <c r="E11" s="36">
        <v>0.011512</v>
      </c>
      <c r="F11" s="36">
        <v>0.014048</v>
      </c>
      <c r="G11" s="36">
        <v>0.011174</v>
      </c>
      <c r="H11" s="36"/>
      <c r="I11" s="36"/>
      <c r="J11" s="36"/>
      <c r="K11" s="36"/>
      <c r="L11" s="36"/>
      <c r="M11" s="36"/>
      <c r="N11" s="36"/>
      <c r="O11" s="15">
        <f>IF(SUM(C11:N11)=0,"0",AVERAGEIF(C11:N11,"&lt;&gt;0",C11:N11))</f>
      </c>
      <c r="P11" s="14"/>
    </row>
    <row r="12">
      <c r="A12" s="34">
        <v>11</v>
      </c>
      <c r="B12" s="34" t="str">
        <v>安徽</v>
      </c>
      <c r="C12" s="34">
        <v>0.0145</v>
      </c>
      <c r="D12" s="34">
        <v>0.0149</v>
      </c>
      <c r="E12" s="34">
        <v>0.014</v>
      </c>
      <c r="F12" s="34">
        <v>0.0143</v>
      </c>
      <c r="G12" s="34">
        <v>0.0144</v>
      </c>
      <c r="H12" s="34"/>
      <c r="I12" s="34"/>
      <c r="J12" s="34"/>
      <c r="K12" s="34"/>
      <c r="L12" s="34"/>
      <c r="M12" s="34"/>
      <c r="N12" s="34"/>
      <c r="O12" s="15">
        <f>IF(SUM(C12:N12)=0,"0",AVERAGEIF(C12:N12,"&lt;&gt;0",C12:N12))</f>
      </c>
      <c r="P12" s="14"/>
    </row>
    <row r="13">
      <c r="A13" s="34">
        <v>12</v>
      </c>
      <c r="B13" s="36" t="str">
        <v>福建</v>
      </c>
      <c r="C13" s="36">
        <v>0.013796</v>
      </c>
      <c r="D13" s="36">
        <v>0.013744</v>
      </c>
      <c r="E13" s="36">
        <v>0.013684</v>
      </c>
      <c r="F13" s="36">
        <v>0.013832</v>
      </c>
      <c r="G13" s="36">
        <v>0.013869</v>
      </c>
      <c r="H13" s="36"/>
      <c r="I13" s="36"/>
      <c r="J13" s="36"/>
      <c r="K13" s="36"/>
      <c r="L13" s="36"/>
      <c r="M13" s="36"/>
      <c r="N13" s="36"/>
      <c r="O13" s="15">
        <f>IF(SUM(C13:N13)=0,"0",AVERAGEIF(C13:N13,"&lt;&gt;0",C13:N13))</f>
      </c>
      <c r="P13" s="14"/>
    </row>
    <row r="14">
      <c r="A14" s="34">
        <v>13</v>
      </c>
      <c r="B14" s="34" t="str">
        <v>湖北</v>
      </c>
      <c r="C14" s="34">
        <v>0.013643</v>
      </c>
      <c r="D14" s="34">
        <v>0.016257</v>
      </c>
      <c r="E14" s="34">
        <v>0.01976</v>
      </c>
      <c r="F14" s="34">
        <v>0.016896</v>
      </c>
      <c r="G14" s="34">
        <v>0.022203</v>
      </c>
      <c r="H14" s="34"/>
      <c r="I14" s="34"/>
      <c r="J14" s="34"/>
      <c r="K14" s="34"/>
      <c r="L14" s="34"/>
      <c r="M14" s="34"/>
      <c r="N14" s="34"/>
      <c r="O14" s="30">
        <f>IF(SUM(C14:N14)=0,"0",AVERAGEIF(C14:N14,"&lt;&gt;0",C14:N14))</f>
      </c>
      <c r="P14" s="29"/>
    </row>
    <row r="15">
      <c r="A15" s="34">
        <v>14</v>
      </c>
      <c r="B15" s="36" t="str">
        <v>河南</v>
      </c>
      <c r="C15" s="36">
        <v>0.0156</v>
      </c>
      <c r="D15" s="36">
        <v>0.017852</v>
      </c>
      <c r="E15" s="36">
        <v>0.016618</v>
      </c>
      <c r="F15" s="36">
        <v>0.01653</v>
      </c>
      <c r="G15" s="36">
        <v>0.015288</v>
      </c>
      <c r="H15" s="36"/>
      <c r="I15" s="36"/>
      <c r="J15" s="36"/>
      <c r="K15" s="36"/>
      <c r="L15" s="36"/>
      <c r="M15" s="36"/>
      <c r="N15" s="36"/>
      <c r="O15" s="30">
        <f>IF(SUM(C15:N15)=0,"0",AVERAGEIF(C15:N15,"&lt;&gt;0",C15:N15))</f>
      </c>
      <c r="P15" s="29"/>
    </row>
    <row r="16">
      <c r="A16" s="34">
        <v>15</v>
      </c>
      <c r="B16" s="34" t="str">
        <v>湖南</v>
      </c>
      <c r="C16" s="34">
        <v>0.026021</v>
      </c>
      <c r="D16" s="34">
        <v>0.026345</v>
      </c>
      <c r="E16" s="34">
        <v>0.025493</v>
      </c>
      <c r="F16" s="34">
        <v>0.021961</v>
      </c>
      <c r="G16" s="34">
        <v>0.015171</v>
      </c>
      <c r="H16" s="34"/>
      <c r="I16" s="34"/>
      <c r="J16" s="34"/>
      <c r="K16" s="34"/>
      <c r="L16" s="34"/>
      <c r="M16" s="34"/>
      <c r="N16" s="34"/>
      <c r="O16" s="30">
        <f>IF(SUM(C16:N16)=0,"0",AVERAGEIF(C16:N16,"&lt;&gt;0",C16:N16))</f>
      </c>
      <c r="P16" s="29"/>
    </row>
    <row r="17">
      <c r="A17" s="34">
        <v>16</v>
      </c>
      <c r="B17" s="36" t="str">
        <v>江西</v>
      </c>
      <c r="C17" s="36">
        <v>0.018132</v>
      </c>
      <c r="D17" s="36">
        <v>0.017833</v>
      </c>
      <c r="E17" s="36">
        <v>0.017833</v>
      </c>
      <c r="F17" s="36">
        <v>0.017833</v>
      </c>
      <c r="G17" s="36">
        <v>0.017833</v>
      </c>
      <c r="H17" s="36"/>
      <c r="I17" s="36"/>
      <c r="J17" s="36"/>
      <c r="K17" s="36"/>
      <c r="L17" s="36"/>
      <c r="M17" s="36"/>
      <c r="N17" s="36"/>
      <c r="O17" s="30">
        <f>IF(SUM(C17:N17)=0,"0",AVERAGEIF(C17:N17,"&lt;&gt;0",C17:N17))</f>
      </c>
      <c r="P17" s="29"/>
    </row>
    <row r="18">
      <c r="A18" s="34">
        <v>17</v>
      </c>
      <c r="B18" s="34" t="str">
        <v>辽宁</v>
      </c>
      <c r="C18" s="34">
        <v>0.016256</v>
      </c>
      <c r="D18" s="34">
        <v>0.016222</v>
      </c>
      <c r="E18" s="34">
        <v>0.013617</v>
      </c>
      <c r="F18" s="34">
        <v>0.015059</v>
      </c>
      <c r="G18" s="34">
        <v>0.015155</v>
      </c>
      <c r="H18" s="34"/>
      <c r="I18" s="34"/>
      <c r="J18" s="34"/>
      <c r="K18" s="34"/>
      <c r="L18" s="34"/>
      <c r="M18" s="34"/>
      <c r="N18" s="34"/>
      <c r="O18" s="15">
        <f>IF(SUM(C18:N18)=0,"0",AVERAGEIF(C18:N18,"&lt;&gt;0",C18:N18))</f>
      </c>
      <c r="P18" s="14"/>
    </row>
    <row r="19">
      <c r="A19" s="34">
        <v>18</v>
      </c>
      <c r="B19" s="36" t="str">
        <v>吉林</v>
      </c>
      <c r="C19" s="36">
        <v>0.019835</v>
      </c>
      <c r="D19" s="36">
        <v>0.018828</v>
      </c>
      <c r="E19" s="36">
        <v>0.018118</v>
      </c>
      <c r="F19" s="36">
        <v>0.018685</v>
      </c>
      <c r="G19" s="36">
        <v>0.017291</v>
      </c>
      <c r="H19" s="36"/>
      <c r="I19" s="36"/>
      <c r="J19" s="36"/>
      <c r="K19" s="36"/>
      <c r="L19" s="36"/>
      <c r="M19" s="36"/>
      <c r="N19" s="36"/>
      <c r="O19" s="15">
        <f>IF(SUM(C19:N19)=0,"0",AVERAGEIF(C19:N19,"&lt;&gt;0",C19:N19))</f>
      </c>
      <c r="P19" s="14"/>
    </row>
    <row r="20">
      <c r="A20" s="34">
        <v>19</v>
      </c>
      <c r="B20" s="34" t="str">
        <v>黑龙江</v>
      </c>
      <c r="C20" s="34">
        <v>0.023772</v>
      </c>
      <c r="D20" s="34">
        <v>0.02419</v>
      </c>
      <c r="E20" s="34">
        <v>0.024411</v>
      </c>
      <c r="F20" s="34">
        <v>0.024559</v>
      </c>
      <c r="G20" s="34">
        <v>0.024194</v>
      </c>
      <c r="H20" s="34"/>
      <c r="I20" s="34"/>
      <c r="J20" s="34"/>
      <c r="K20" s="34"/>
      <c r="L20" s="34"/>
      <c r="M20" s="34"/>
      <c r="N20" s="34"/>
      <c r="O20" s="15">
        <f>IF(SUM(C20:N20)=0,"0",AVERAGEIF(C20:N20,"&lt;&gt;0",C20:N20))</f>
      </c>
      <c r="P20" s="14"/>
    </row>
    <row r="21">
      <c r="A21" s="34">
        <v>20</v>
      </c>
      <c r="B21" s="36" t="str">
        <v>蒙东</v>
      </c>
      <c r="C21" s="36">
        <v>0.019177</v>
      </c>
      <c r="D21" s="36">
        <v>0.01391</v>
      </c>
      <c r="E21" s="36">
        <v>0.013832</v>
      </c>
      <c r="F21" s="36">
        <v>0.013771</v>
      </c>
      <c r="G21" s="36">
        <v>0.014025</v>
      </c>
      <c r="H21" s="36"/>
      <c r="I21" s="36"/>
      <c r="J21" s="36"/>
      <c r="K21" s="36"/>
      <c r="L21" s="36"/>
      <c r="M21" s="36"/>
      <c r="N21" s="36"/>
      <c r="O21" s="15">
        <f>IF(SUM(C21:N21)=0,"0",AVERAGEIF(C21:N21,"&lt;&gt;0",C21:N21))</f>
      </c>
      <c r="P21" s="14"/>
    </row>
    <row r="22">
      <c r="A22" s="34">
        <v>21</v>
      </c>
      <c r="B22" s="34" t="str">
        <v>陕西</v>
      </c>
      <c r="C22" s="34">
        <v>0.0144</v>
      </c>
      <c r="D22" s="34">
        <v>0.0145</v>
      </c>
      <c r="E22" s="34">
        <v>0.0139</v>
      </c>
      <c r="F22" s="34">
        <v>0.0127</v>
      </c>
      <c r="G22" s="34">
        <v>0.0127</v>
      </c>
      <c r="H22" s="34"/>
      <c r="I22" s="34"/>
      <c r="J22" s="34"/>
      <c r="K22" s="34"/>
      <c r="L22" s="34"/>
      <c r="M22" s="34"/>
      <c r="N22" s="34"/>
      <c r="O22" s="30">
        <f>IF(SUM(C22:N22)=0,"0",AVERAGEIF(C22:N22,"&lt;&gt;0",C22:N22))</f>
      </c>
      <c r="P22" s="29"/>
    </row>
    <row r="23">
      <c r="A23" s="34">
        <v>22</v>
      </c>
      <c r="B23" s="36" t="str">
        <v>甘肃</v>
      </c>
      <c r="C23" s="36">
        <v>0.006531</v>
      </c>
      <c r="D23" s="36">
        <v>0.006866</v>
      </c>
      <c r="E23" s="36">
        <v>0.005756</v>
      </c>
      <c r="F23" s="36">
        <v>0.004766</v>
      </c>
      <c r="G23" s="36">
        <v>0.003789</v>
      </c>
      <c r="H23" s="36"/>
      <c r="I23" s="36"/>
      <c r="J23" s="36"/>
      <c r="K23" s="36"/>
      <c r="L23" s="36"/>
      <c r="M23" s="36"/>
      <c r="N23" s="36"/>
      <c r="O23" s="30">
        <f>IF(SUM(C23:N23)=0,"0",AVERAGEIF(C23:N23,"&lt;&gt;0",C23:N23))</f>
      </c>
      <c r="P23" s="29"/>
    </row>
    <row r="24">
      <c r="A24" s="34">
        <v>23</v>
      </c>
      <c r="B24" s="34" t="str">
        <v>青海</v>
      </c>
      <c r="C24" s="34">
        <v>0.009783</v>
      </c>
      <c r="D24" s="34">
        <v>0.010686</v>
      </c>
      <c r="E24" s="34">
        <v>0.010735</v>
      </c>
      <c r="F24" s="34">
        <v>0.008459</v>
      </c>
      <c r="G24" s="34">
        <v>0.008304</v>
      </c>
      <c r="H24" s="34"/>
      <c r="I24" s="34"/>
      <c r="J24" s="34"/>
      <c r="K24" s="34"/>
      <c r="L24" s="34"/>
      <c r="M24" s="34"/>
      <c r="N24" s="34"/>
      <c r="O24" s="30">
        <f>IF(SUM(C24:N24)=0,"0",AVERAGEIF(C24:N24,"&lt;&gt;0",C24:N24))</f>
      </c>
      <c r="P24" s="29"/>
    </row>
    <row r="25">
      <c r="A25" s="34">
        <v>24</v>
      </c>
      <c r="B25" s="36" t="str">
        <v>宁夏</v>
      </c>
      <c r="C25" s="36">
        <v>0.0068</v>
      </c>
      <c r="D25" s="36">
        <v>0.007</v>
      </c>
      <c r="E25" s="36">
        <v>0.0068</v>
      </c>
      <c r="F25" s="36">
        <v>0.007</v>
      </c>
      <c r="G25" s="36">
        <v>0.0071</v>
      </c>
      <c r="H25" s="36"/>
      <c r="I25" s="36"/>
      <c r="J25" s="36"/>
      <c r="K25" s="36"/>
      <c r="L25" s="36"/>
      <c r="M25" s="36"/>
      <c r="N25" s="36"/>
      <c r="O25" s="30">
        <f>IF(SUM(C25:N25)=0,"0",AVERAGEIF(C25:N25,"&lt;&gt;0",C25:N25))</f>
      </c>
      <c r="P25" s="29"/>
    </row>
    <row r="26">
      <c r="A26" s="34">
        <v>25</v>
      </c>
      <c r="B26" s="34" t="str">
        <v>新疆</v>
      </c>
      <c r="C26" s="34">
        <v>0.01399</v>
      </c>
      <c r="D26" s="34">
        <v>0.013994</v>
      </c>
      <c r="E26" s="34">
        <v>0.015013</v>
      </c>
      <c r="F26" s="34">
        <v>0.011995</v>
      </c>
      <c r="G26" s="34">
        <v>0.005544</v>
      </c>
      <c r="H26" s="34"/>
      <c r="I26" s="34"/>
      <c r="J26" s="34"/>
      <c r="K26" s="34"/>
      <c r="L26" s="34"/>
      <c r="M26" s="34"/>
      <c r="N26" s="34"/>
      <c r="O26" s="30">
        <f>IF(SUM(C26:N26)=0,"0",AVERAGEIF(C26:N26,"&lt;&gt;0",C26:N26))</f>
      </c>
      <c r="P26" s="29"/>
    </row>
    <row r="27">
      <c r="A27" s="34">
        <v>26</v>
      </c>
      <c r="B27" s="36" t="str">
        <v>重庆</v>
      </c>
      <c r="C27" s="36">
        <v>0.020619</v>
      </c>
      <c r="D27" s="36">
        <v>0.018634</v>
      </c>
      <c r="E27" s="36">
        <v>0.018913</v>
      </c>
      <c r="F27" s="36">
        <v>0.018287</v>
      </c>
      <c r="G27" s="36">
        <v>0.017905</v>
      </c>
      <c r="H27" s="36"/>
      <c r="I27" s="36"/>
      <c r="J27" s="36"/>
      <c r="K27" s="36"/>
      <c r="L27" s="36"/>
      <c r="M27" s="36"/>
      <c r="N27" s="36"/>
      <c r="O27" s="15">
        <f>IF(SUM(C27:N27)=0,"0",AVERAGEIF(C27:N27,"&lt;&gt;0",C27:N27))</f>
      </c>
      <c r="P27" s="14"/>
    </row>
    <row r="28">
      <c r="A28" s="34">
        <v>27</v>
      </c>
      <c r="B28" s="34" t="str">
        <v>四川</v>
      </c>
      <c r="C28" s="34">
        <v>0.025987</v>
      </c>
      <c r="D28" s="34">
        <v>0.025438</v>
      </c>
      <c r="E28" s="34">
        <v>0.025857</v>
      </c>
      <c r="F28" s="34">
        <v>0.023899</v>
      </c>
      <c r="G28" s="34">
        <v>0.020599</v>
      </c>
      <c r="H28" s="34"/>
      <c r="I28" s="34"/>
      <c r="J28" s="34"/>
      <c r="K28" s="34"/>
      <c r="L28" s="34"/>
      <c r="M28" s="34"/>
      <c r="N28" s="34"/>
      <c r="O28" s="15">
        <f>IF(SUM(C28:N28)=0,"0",AVERAGEIF(C28:N28,"&lt;&gt;0",C28:N28))</f>
      </c>
      <c r="P28" s="14"/>
    </row>
    <row r="29">
      <c r="A29" s="34">
        <v>28</v>
      </c>
      <c r="B29" s="36" t="str">
        <v>广东</v>
      </c>
      <c r="C29" s="36">
        <v>0.0162</v>
      </c>
      <c r="D29" s="36">
        <v>0.0176</v>
      </c>
      <c r="E29" s="36">
        <v>0.0141</v>
      </c>
      <c r="F29" s="36">
        <v>0.0147</v>
      </c>
      <c r="G29" s="36">
        <v>0.0158</v>
      </c>
      <c r="H29" s="36"/>
      <c r="I29" s="36"/>
      <c r="J29" s="36"/>
      <c r="K29" s="36"/>
      <c r="L29" s="36"/>
      <c r="M29" s="36"/>
      <c r="N29" s="36"/>
      <c r="O29" s="30">
        <f>IF(SUM(C29:N29)=0,"0",AVERAGEIF(C29:N29,"&lt;&gt;0",C29:N29))</f>
      </c>
      <c r="P29" s="29"/>
    </row>
    <row r="30">
      <c r="A30" s="34">
        <v>29</v>
      </c>
      <c r="B30" s="34" t="str">
        <v>广西</v>
      </c>
      <c r="C30" s="34">
        <v>0.017121</v>
      </c>
      <c r="D30" s="34">
        <v>0.017925</v>
      </c>
      <c r="E30" s="34">
        <v>0.016874</v>
      </c>
      <c r="F30" s="34">
        <v>0.017338</v>
      </c>
      <c r="G30" s="34">
        <v>0.016842</v>
      </c>
      <c r="H30" s="34"/>
      <c r="I30" s="34"/>
      <c r="J30" s="34"/>
      <c r="K30" s="34"/>
      <c r="L30" s="34"/>
      <c r="M30" s="34"/>
      <c r="N30" s="34"/>
      <c r="O30" s="30">
        <f>IF(SUM(C30:N30)=0,"0",AVERAGEIF(C30:N30,"&lt;&gt;0",C30:N30))</f>
      </c>
      <c r="P30" s="29"/>
    </row>
    <row r="31">
      <c r="A31" s="34">
        <v>30</v>
      </c>
      <c r="B31" s="36" t="str">
        <v>云南</v>
      </c>
      <c r="C31" s="36">
        <v>0.014725</v>
      </c>
      <c r="D31" s="36">
        <v>0.014133</v>
      </c>
      <c r="E31" s="36">
        <v>0.014805</v>
      </c>
      <c r="F31" s="36">
        <v>0.015824</v>
      </c>
      <c r="G31" s="36">
        <v>0.013662</v>
      </c>
      <c r="H31" s="36"/>
      <c r="I31" s="36"/>
      <c r="J31" s="36"/>
      <c r="K31" s="36"/>
      <c r="L31" s="36"/>
      <c r="M31" s="36"/>
      <c r="N31" s="36"/>
      <c r="O31" s="30">
        <f>IF(SUM(C31:N31)=0,"0",AVERAGEIF(C31:N31,"&lt;&gt;0",C31:N31))</f>
      </c>
      <c r="P31" s="29"/>
    </row>
    <row r="32">
      <c r="A32" s="34">
        <v>31</v>
      </c>
      <c r="B32" s="34" t="str">
        <v>贵州</v>
      </c>
      <c r="C32" s="34">
        <v>0.018596</v>
      </c>
      <c r="D32" s="34">
        <v>0.01901</v>
      </c>
      <c r="E32" s="34">
        <v>0.01905</v>
      </c>
      <c r="F32" s="34">
        <v>0.018654</v>
      </c>
      <c r="G32" s="34">
        <v>0.018854</v>
      </c>
      <c r="H32" s="34"/>
      <c r="I32" s="34"/>
      <c r="J32" s="34"/>
      <c r="K32" s="34"/>
      <c r="L32" s="34"/>
      <c r="M32" s="34"/>
      <c r="N32" s="34"/>
      <c r="O32" s="30">
        <f>IF(SUM(C32:N32)=0,"0",AVERAGEIF(C32:N32,"&lt;&gt;0",C32:N32))</f>
      </c>
      <c r="P32" s="29"/>
    </row>
    <row r="33">
      <c r="A33" s="34">
        <v>32</v>
      </c>
      <c r="B33" s="36" t="str">
        <v>海南</v>
      </c>
      <c r="C33" s="36">
        <v>0.02487</v>
      </c>
      <c r="D33" s="36">
        <v>0.021986</v>
      </c>
      <c r="E33" s="36">
        <v>0.02043</v>
      </c>
      <c r="F33" s="36">
        <v>0.021519</v>
      </c>
      <c r="G33" s="36">
        <v>0.024158</v>
      </c>
      <c r="H33" s="36"/>
      <c r="I33" s="36"/>
      <c r="J33" s="36"/>
      <c r="K33" s="36"/>
      <c r="L33" s="36"/>
      <c r="M33" s="36"/>
      <c r="N33" s="36"/>
      <c r="O33" s="30">
        <f>IF(SUM(C33:N33)=0,"0",AVERAGEIF(C33:N33,"&lt;&gt;0",C33:N33))</f>
      </c>
      <c r="P33" s="29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53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  <col collapsed="false" customWidth="true" hidden="false" max="21" min="21" style="0" width="9"/>
    <col collapsed="false" customWidth="true" hidden="false" max="22" min="22" style="0" width="9"/>
    <col collapsed="false" customWidth="true" hidden="false" max="23" min="23" style="0" width="9"/>
    <col collapsed="false" customWidth="true" hidden="false" max="24" min="24" style="0" width="9"/>
    <col collapsed="false" customWidth="true" hidden="false" max="25" min="25" style="0" width="9"/>
    <col collapsed="false" customWidth="true" hidden="false" max="26" min="26" style="0" width="9"/>
    <col collapsed="false" customWidth="true" hidden="false" max="27" min="27" style="0" width="9"/>
    <col collapsed="false" customWidth="true" hidden="false" max="28" min="28" style="0" width="9"/>
    <col collapsed="false" customWidth="true" hidden="false" max="29" min="29" style="0" width="9"/>
    <col collapsed="false" customWidth="true" hidden="false" max="30" min="30" style="0" width="9"/>
    <col collapsed="false" customWidth="true" hidden="false" max="31" min="31" style="0" width="9"/>
    <col collapsed="false" customWidth="true" hidden="false" max="32" min="32" style="0" width="9"/>
    <col collapsed="false" customWidth="true" hidden="false" max="33" min="33" style="0" width="9"/>
    <col collapsed="false" customWidth="true" hidden="false" max="34" min="34" style="0" width="9"/>
    <col collapsed="false" customWidth="true" hidden="false" max="35" min="35" style="0" width="9"/>
    <col collapsed="false" customWidth="true" hidden="false" max="36" min="36" style="0" width="9"/>
    <col collapsed="false" customWidth="true" hidden="false" max="37" min="37" style="0" width="9"/>
    <col collapsed="false" customWidth="true" hidden="false" max="38" min="38" style="0" width="9"/>
    <col collapsed="false" customWidth="true" hidden="false" max="39" min="39" style="0" width="9"/>
    <col collapsed="false" customWidth="true" hidden="false" max="40" min="40" style="0" width="9"/>
    <col collapsed="false" customWidth="true" hidden="false" max="41" min="41" style="0" width="9"/>
    <col collapsed="false" customWidth="true" hidden="false" max="42" min="42" style="0" width="9"/>
    <col collapsed="false" customWidth="true" hidden="false" max="43" min="43" style="0" width="9"/>
    <col collapsed="false" customWidth="true" hidden="false" max="44" min="44" style="0" width="9"/>
    <col collapsed="false" customWidth="true" hidden="false" max="45" min="45" style="0" width="9"/>
    <col collapsed="false" customWidth="true" hidden="false" max="46" min="46" style="0" width="9"/>
    <col collapsed="false" customWidth="true" hidden="false" max="47" min="47" style="0" width="9"/>
    <col collapsed="false" customWidth="true" hidden="false" max="48" min="48" style="0" width="9"/>
    <col collapsed="false" customWidth="true" hidden="false" max="49" min="49" style="0" width="9"/>
    <col collapsed="false" customWidth="true" hidden="false" max="50" min="50" style="0" width="9"/>
    <col collapsed="false" customWidth="true" hidden="false" max="51" min="51" style="0" width="9"/>
    <col collapsed="false" customWidth="true" hidden="false" max="52" min="52" style="0" width="9"/>
    <col collapsed="false" customWidth="true" hidden="false" max="53" min="53" style="0" width="9"/>
    <col collapsed="false" customWidth="true" hidden="false" max="54" min="54" style="0" width="9"/>
    <col collapsed="false" customWidth="true" hidden="false" max="55" min="55" style="0" width="9"/>
    <col collapsed="false" customWidth="true" hidden="false" max="56" min="56" style="0" width="9"/>
    <col collapsed="false" customWidth="true" hidden="false" max="57" min="57" style="0" width="9"/>
    <col collapsed="false" customWidth="true" hidden="false" max="58" min="58" style="0" width="9"/>
    <col collapsed="false" customWidth="true" hidden="false" max="59" min="59" style="0" width="9"/>
    <col collapsed="false" customWidth="true" hidden="false" max="60" min="60" style="0" width="9"/>
    <col collapsed="false" customWidth="true" hidden="false" max="61" min="61" style="0" width="9"/>
    <col collapsed="false" customWidth="true" hidden="false" max="62" min="62" style="0" width="9"/>
    <col collapsed="false" customWidth="true" hidden="false" max="63" min="63" style="0" width="9"/>
    <col collapsed="false" customWidth="true" hidden="false" max="64" min="64" style="0" width="9"/>
    <col collapsed="false" customWidth="true" hidden="false" max="65" min="65" style="0" width="9"/>
    <col collapsed="false" customWidth="true" hidden="false" max="66" min="66" style="0" width="9"/>
    <col collapsed="false" customWidth="true" hidden="false" max="67" min="67" style="0" width="9"/>
    <col collapsed="false" customWidth="true" hidden="false" max="68" min="68" style="0" width="9"/>
    <col collapsed="false" customWidth="true" hidden="false" max="69" min="69" style="0" width="9"/>
    <col collapsed="false" customWidth="true" hidden="false" max="70" min="70" style="0" width="9"/>
    <col collapsed="false" customWidth="true" hidden="false" max="71" min="71" style="0" width="9"/>
    <col collapsed="false" customWidth="true" hidden="false" max="72" min="72" style="0" width="9"/>
    <col collapsed="false" customWidth="true" hidden="false" max="73" min="73" style="0" width="9"/>
    <col collapsed="false" customWidth="true" hidden="false" max="74" min="74" style="0" width="9"/>
    <col collapsed="false" customWidth="true" hidden="false" max="75" min="75" style="0" width="9"/>
    <col collapsed="false" customWidth="true" hidden="false" max="76" min="76" style="0" width="9"/>
    <col collapsed="false" customWidth="true" hidden="false" max="77" min="77" style="0" width="9"/>
    <col collapsed="false" customWidth="true" hidden="false" max="78" min="78" style="0" width="9"/>
    <col collapsed="false" customWidth="true" hidden="false" max="79" min="79" style="0" width="9"/>
    <col collapsed="false" customWidth="true" hidden="false" max="80" min="80" style="0" width="9"/>
    <col collapsed="false" customWidth="true" hidden="false" max="81" min="81" style="0" width="9"/>
    <col collapsed="false" customWidth="true" hidden="false" max="82" min="82" style="0" width="9"/>
    <col collapsed="false" customWidth="true" hidden="false" max="83" min="83" style="0" width="9"/>
    <col collapsed="false" customWidth="true" hidden="false" max="84" min="84" style="0" width="9"/>
    <col collapsed="false" customWidth="true" hidden="false" max="85" min="85" style="0" width="9"/>
    <col collapsed="false" customWidth="true" hidden="false" max="86" min="86" style="0" width="9"/>
    <col collapsed="false" customWidth="true" hidden="false" max="87" min="87" style="0" width="9"/>
    <col collapsed="false" customWidth="true" hidden="false" max="88" min="88" style="0" width="9"/>
    <col collapsed="false" customWidth="true" hidden="false" max="89" min="89" style="0" width="9"/>
    <col collapsed="false" customWidth="true" hidden="false" max="90" min="90" style="0" width="9"/>
    <col collapsed="false" customWidth="true" hidden="false" max="91" min="91" style="0" width="9"/>
    <col collapsed="false" customWidth="true" hidden="false" max="92" min="92" style="0" width="9"/>
    <col collapsed="false" customWidth="true" hidden="false" max="93" min="93" style="0" width="9"/>
    <col collapsed="false" customWidth="true" hidden="false" max="94" min="94" style="0" width="9"/>
    <col collapsed="false" customWidth="true" hidden="false" max="95" min="95" style="0" width="9"/>
    <col collapsed="false" customWidth="true" hidden="false" max="96" min="96" style="0" width="9"/>
    <col collapsed="false" customWidth="true" hidden="false" max="97" min="97" style="0" width="9"/>
    <col collapsed="false" customWidth="true" hidden="false" max="98" min="98" style="0" width="9"/>
    <col collapsed="false" customWidth="true" hidden="false" max="99" min="99" style="0" width="9"/>
    <col collapsed="false" customWidth="true" hidden="false" max="100" min="100" style="0" width="9"/>
    <col collapsed="false" customWidth="true" hidden="false" max="101" min="101" style="0" width="9"/>
    <col collapsed="false" customWidth="true" hidden="false" max="102" min="102" style="0" width="9"/>
    <col collapsed="false" customWidth="true" hidden="false" max="103" min="103" style="0" width="9"/>
    <col collapsed="false" customWidth="true" hidden="false" max="104" min="104" style="0" width="9"/>
    <col collapsed="false" customWidth="true" hidden="false" max="105" min="105" style="0" width="9"/>
    <col collapsed="false" customWidth="true" hidden="false" max="106" min="106" style="0" width="9"/>
    <col collapsed="false" customWidth="true" hidden="false" max="107" min="107" style="0" width="9"/>
    <col collapsed="false" customWidth="true" hidden="false" max="108" min="108" style="0" width="9"/>
    <col collapsed="false" customWidth="true" hidden="false" max="109" min="109" style="0" width="9"/>
    <col collapsed="false" customWidth="true" hidden="false" max="110" min="110" style="0" width="9"/>
    <col collapsed="false" customWidth="true" hidden="false" max="111" min="111" style="0" width="9"/>
    <col collapsed="false" customWidth="true" hidden="false" max="112" min="112" style="0" width="9"/>
    <col collapsed="false" customWidth="true" hidden="false" max="113" min="113" style="0" width="9"/>
    <col collapsed="false" customWidth="true" hidden="false" max="114" min="114" style="0" width="9"/>
    <col collapsed="false" customWidth="true" hidden="false" max="115" min="115" style="0" width="9"/>
    <col collapsed="false" customWidth="true" hidden="false" max="116" min="116" style="0" width="9"/>
    <col collapsed="false" customWidth="true" hidden="false" max="117" min="117" style="0" width="9"/>
    <col collapsed="false" customWidth="true" hidden="false" max="118" min="118" style="0" width="9"/>
    <col collapsed="false" customWidth="true" hidden="false" max="119" min="119" style="0" width="9"/>
    <col collapsed="false" customWidth="true" hidden="false" max="120" min="120" style="0" width="9"/>
    <col collapsed="false" customWidth="true" hidden="false" max="121" min="121" style="0" width="9"/>
    <col collapsed="false" customWidth="true" hidden="false" max="122" min="122" style="0" width="9"/>
    <col collapsed="false" customWidth="true" hidden="false" max="123" min="123" style="0" width="9"/>
    <col collapsed="false" customWidth="true" hidden="false" max="124" min="124" style="0" width="9"/>
    <col collapsed="false" customWidth="true" hidden="false" max="125" min="125" style="0" width="9"/>
    <col collapsed="false" customWidth="true" hidden="false" max="126" min="126" style="0" width="9"/>
    <col collapsed="false" customWidth="true" hidden="false" max="127" min="127" style="0" width="9"/>
    <col collapsed="false" customWidth="true" hidden="false" max="128" min="128" style="0" width="9"/>
    <col collapsed="false" customWidth="true" hidden="false" max="129" min="129" style="0" width="9"/>
    <col collapsed="false" customWidth="true" hidden="false" max="130" min="130" style="0" width="9"/>
    <col collapsed="false" customWidth="true" hidden="false" max="131" min="131" style="0" width="9"/>
    <col collapsed="false" customWidth="true" hidden="false" max="132" min="132" style="0" width="9"/>
    <col collapsed="false" customWidth="true" hidden="false" max="133" min="133" style="0" width="9"/>
    <col collapsed="false" customWidth="true" hidden="false" max="134" min="134" style="0" width="9"/>
    <col collapsed="false" customWidth="true" hidden="false" max="135" min="135" style="0" width="9"/>
    <col collapsed="false" customWidth="true" hidden="false" max="136" min="136" style="0" width="9"/>
    <col collapsed="false" customWidth="true" hidden="false" max="137" min="137" style="0" width="9"/>
    <col collapsed="false" customWidth="true" hidden="false" max="138" min="138" style="0" width="9"/>
    <col collapsed="false" customWidth="true" hidden="false" max="139" min="139" style="0" width="9"/>
    <col collapsed="false" customWidth="true" hidden="false" max="140" min="140" style="0" width="9"/>
    <col collapsed="false" customWidth="true" hidden="false" max="141" min="141" style="0" width="9"/>
    <col collapsed="false" customWidth="true" hidden="false" max="142" min="142" style="0" width="9"/>
    <col collapsed="false" customWidth="true" hidden="false" max="143" min="143" style="0" width="9"/>
    <col collapsed="false" customWidth="true" hidden="false" max="144" min="144" style="0" width="9"/>
    <col collapsed="false" customWidth="true" hidden="false" max="145" min="145" style="0" width="9"/>
    <col collapsed="false" customWidth="true" hidden="false" max="146" min="146" style="0" width="9"/>
    <col collapsed="false" customWidth="true" hidden="false" max="147" min="147" style="0" width="9"/>
    <col collapsed="false" customWidth="true" hidden="false" max="148" min="148" style="0" width="9"/>
    <col collapsed="false" customWidth="true" hidden="false" max="149" min="149" style="0" width="9"/>
    <col collapsed="false" customWidth="true" hidden="false" max="150" min="150" style="0" width="9"/>
    <col collapsed="false" customWidth="true" hidden="false" max="151" min="151" style="0" width="9"/>
    <col collapsed="false" customWidth="true" hidden="false" max="152" min="152" style="0" width="9"/>
    <col collapsed="false" customWidth="true" hidden="false" max="153" min="153" style="0" width="9"/>
    <col collapsed="false" customWidth="true" hidden="false" max="154" min="154" style="0" width="9"/>
    <col collapsed="false" customWidth="true" hidden="false" max="155" min="155" style="0" width="9"/>
    <col collapsed="false" customWidth="true" hidden="false" max="156" min="156" style="0" width="9"/>
    <col collapsed="false" customWidth="true" hidden="false" max="157" min="157" style="0" width="9"/>
    <col collapsed="false" customWidth="true" hidden="false" max="158" min="158" style="0" width="9"/>
    <col collapsed="false" customWidth="true" hidden="false" max="159" min="159" style="0" width="9"/>
    <col collapsed="false" customWidth="true" hidden="false" max="160" min="160" style="0" width="9"/>
    <col collapsed="false" customWidth="true" hidden="false" max="161" min="161" style="0" width="9"/>
    <col collapsed="false" customWidth="true" hidden="false" max="162" min="162" style="0" width="9"/>
    <col collapsed="false" customWidth="true" hidden="false" max="163" min="163" style="0" width="9"/>
    <col collapsed="false" customWidth="true" hidden="false" max="164" min="164" style="0" width="9"/>
    <col collapsed="false" customWidth="true" hidden="false" max="165" min="165" style="0" width="9"/>
    <col collapsed="false" customWidth="true" hidden="false" max="166" min="166" style="0" width="9"/>
    <col collapsed="false" customWidth="true" hidden="false" max="167" min="167" style="0" width="9"/>
    <col collapsed="false" customWidth="true" hidden="false" max="168" min="168" style="0" width="9"/>
    <col collapsed="false" customWidth="true" hidden="false" max="169" min="169" style="0" width="9"/>
    <col collapsed="false" customWidth="true" hidden="false" max="170" min="170" style="0" width="9"/>
    <col collapsed="false" customWidth="true" hidden="false" max="171" min="171" style="0" width="9"/>
    <col collapsed="false" customWidth="true" hidden="false" max="172" min="172" style="0" width="9"/>
    <col collapsed="false" customWidth="true" hidden="false" max="173" min="173" style="0" width="9"/>
    <col collapsed="false" customWidth="true" hidden="false" max="174" min="174" style="0" width="9"/>
    <col collapsed="false" customWidth="true" hidden="false" max="175" min="175" style="0" width="9"/>
    <col collapsed="false" customWidth="true" hidden="false" max="176" min="176" style="0" width="9"/>
    <col collapsed="false" customWidth="true" hidden="false" max="177" min="177" style="0" width="9"/>
    <col collapsed="false" customWidth="true" hidden="false" max="178" min="178" style="0" width="9"/>
    <col collapsed="false" customWidth="true" hidden="false" max="179" min="179" style="0" width="9"/>
    <col collapsed="false" customWidth="true" hidden="false" max="180" min="180" style="0" width="9"/>
    <col collapsed="false" customWidth="true" hidden="false" max="181" min="181" style="0" width="9"/>
    <col collapsed="false" customWidth="true" hidden="false" max="182" min="182" style="0" width="9"/>
    <col collapsed="false" customWidth="true" hidden="false" max="183" min="183" style="0" width="9"/>
    <col collapsed="false" customWidth="true" hidden="false" max="184" min="184" style="0" width="9"/>
    <col collapsed="false" customWidth="true" hidden="false" max="185" min="185" style="0" width="9"/>
    <col collapsed="false" customWidth="true" hidden="false" max="186" min="186" style="0" width="9"/>
    <col collapsed="false" customWidth="true" hidden="false" max="187" min="187" style="0" width="9"/>
    <col collapsed="false" customWidth="true" hidden="false" max="188" min="188" style="0" width="9"/>
    <col collapsed="false" customWidth="true" hidden="false" max="189" min="189" style="0" width="9"/>
    <col collapsed="false" customWidth="true" hidden="false" max="190" min="190" style="0" width="9"/>
    <col collapsed="false" customWidth="true" hidden="false" max="191" min="191" style="0" width="9"/>
    <col collapsed="false" customWidth="true" hidden="false" max="192" min="192" style="0" width="9"/>
    <col collapsed="false" customWidth="true" hidden="false" max="193" min="193" style="0" width="9"/>
    <col collapsed="false" customWidth="true" hidden="false" max="194" min="194" style="0" width="9"/>
    <col collapsed="false" customWidth="true" hidden="false" max="195" min="195" style="0" width="9"/>
    <col collapsed="false" customWidth="true" hidden="false" max="196" min="196" style="0" width="9"/>
    <col collapsed="false" customWidth="true" hidden="false" max="197" min="197" style="0" width="9"/>
    <col collapsed="false" customWidth="true" hidden="false" max="198" min="198" style="0" width="9"/>
    <col collapsed="false" customWidth="true" hidden="false" max="199" min="199" style="0" width="9"/>
    <col collapsed="false" customWidth="true" hidden="false" max="200" min="200" style="0" width="9"/>
    <col collapsed="false" customWidth="true" hidden="false" max="201" min="201" style="0" width="9"/>
    <col collapsed="false" customWidth="true" hidden="false" max="202" min="202" style="0" width="9"/>
    <col collapsed="false" customWidth="true" hidden="false" max="203" min="203" style="0" width="9"/>
    <col collapsed="false" customWidth="true" hidden="false" max="204" min="204" style="0" width="9"/>
    <col collapsed="false" customWidth="true" hidden="false" max="205" min="205" style="0" width="9"/>
    <col collapsed="false" customWidth="true" hidden="false" max="206" min="206" style="0" width="9"/>
    <col collapsed="false" customWidth="true" hidden="false" max="207" min="207" style="0" width="9"/>
    <col collapsed="false" customWidth="true" hidden="false" max="208" min="208" style="0" width="9"/>
    <col collapsed="false" customWidth="true" hidden="false" max="209" min="209" style="0" width="9"/>
    <col collapsed="false" customWidth="true" hidden="false" max="210" min="210" style="0" width="9"/>
    <col collapsed="false" customWidth="true" hidden="false" max="211" min="211" style="0" width="9"/>
    <col collapsed="false" customWidth="true" hidden="false" max="212" min="212" style="0" width="9"/>
    <col collapsed="false" customWidth="true" hidden="false" max="213" min="213" style="0" width="9"/>
    <col collapsed="false" customWidth="true" hidden="false" max="214" min="214" style="0" width="9"/>
    <col collapsed="false" customWidth="true" hidden="false" max="215" min="215" style="0" width="9"/>
    <col collapsed="false" customWidth="true" hidden="false" max="216" min="216" style="0" width="9"/>
    <col collapsed="false" customWidth="true" hidden="false" max="217" min="217" style="0" width="9"/>
    <col collapsed="false" customWidth="true" hidden="false" max="218" min="218" style="0" width="9"/>
    <col collapsed="false" customWidth="true" hidden="false" max="219" min="219" style="0" width="9"/>
    <col collapsed="false" customWidth="true" hidden="false" max="220" min="220" style="0" width="9"/>
    <col collapsed="false" customWidth="true" hidden="false" max="221" min="221" style="0" width="9"/>
    <col collapsed="false" customWidth="true" hidden="false" max="222" min="222" style="0" width="9"/>
    <col collapsed="false" customWidth="true" hidden="false" max="223" min="223" style="0" width="9"/>
    <col collapsed="false" customWidth="true" hidden="false" max="224" min="224" style="0" width="9"/>
    <col collapsed="false" customWidth="true" hidden="false" max="225" min="225" style="0" width="9"/>
    <col collapsed="false" customWidth="true" hidden="false" max="226" min="226" style="0" width="9"/>
    <col collapsed="false" customWidth="true" hidden="false" max="227" min="227" style="0" width="9"/>
    <col collapsed="false" customWidth="true" hidden="false" max="228" min="228" style="0" width="9"/>
    <col collapsed="false" customWidth="true" hidden="false" max="229" min="229" style="0" width="9"/>
    <col collapsed="false" customWidth="true" hidden="false" max="230" min="230" style="0" width="9"/>
    <col collapsed="false" customWidth="true" hidden="false" max="231" min="231" style="0" width="9"/>
    <col collapsed="false" customWidth="true" hidden="false" max="232" min="232" style="0" width="9"/>
    <col collapsed="false" customWidth="true" hidden="false" max="233" min="233" style="0" width="9"/>
    <col collapsed="false" customWidth="true" hidden="false" max="234" min="234" style="0" width="9"/>
    <col collapsed="false" customWidth="true" hidden="false" max="235" min="235" style="0" width="9"/>
    <col collapsed="false" customWidth="true" hidden="false" max="236" min="236" style="0" width="9"/>
    <col collapsed="false" customWidth="true" hidden="false" max="237" min="237" style="0" width="9"/>
    <col collapsed="false" customWidth="true" hidden="false" max="238" min="238" style="0" width="9"/>
    <col collapsed="false" customWidth="true" hidden="false" max="239" min="239" style="0" width="9"/>
    <col collapsed="false" customWidth="true" hidden="false" max="240" min="240" style="0" width="9"/>
    <col collapsed="false" customWidth="true" hidden="false" max="241" min="241" style="0" width="9"/>
    <col collapsed="false" customWidth="true" hidden="false" max="242" min="242" style="0" width="9"/>
    <col collapsed="false" customWidth="true" hidden="false" max="243" min="243" style="0" width="9"/>
    <col collapsed="false" customWidth="true" hidden="false" max="244" min="244" style="0" width="9"/>
    <col collapsed="false" customWidth="true" hidden="false" max="245" min="245" style="0" width="9"/>
    <col collapsed="false" customWidth="true" hidden="false" max="246" min="246" style="0" width="9"/>
    <col collapsed="false" customWidth="true" hidden="false" max="247" min="247" style="0" width="9"/>
    <col collapsed="false" customWidth="true" hidden="false" max="248" min="248" style="0" width="9"/>
    <col collapsed="false" customWidth="true" hidden="false" max="249" min="249" style="0" width="9"/>
    <col collapsed="false" customWidth="true" hidden="false" max="250" min="250" style="0" width="9"/>
    <col collapsed="false" customWidth="true" hidden="false" max="251" min="251" style="0" width="9"/>
    <col collapsed="false" customWidth="true" hidden="false" max="252" min="252" style="0" width="9"/>
    <col collapsed="false" customWidth="true" hidden="false" max="253" min="253" style="0" width="9"/>
    <col collapsed="false" customWidth="true" hidden="false" max="254" min="254" style="0" width="9"/>
    <col collapsed="false" customWidth="true" hidden="false" max="255" min="255" style="0" width="9"/>
    <col collapsed="false" customWidth="true" hidden="false" max="256" min="256" style="0" width="9"/>
    <col collapsed="false" customWidth="true" hidden="false" max="257" min="257" style="0" width="9"/>
    <col collapsed="false" customWidth="true" hidden="false" max="258" min="258" style="0" width="9"/>
    <col collapsed="false" customWidth="true" hidden="false" max="259" min="259" style="0" width="9"/>
    <col collapsed="false" customWidth="true" hidden="false" max="260" min="260" style="0" width="9"/>
    <col collapsed="false" customWidth="true" hidden="false" max="261" min="261" style="0" width="9"/>
    <col collapsed="false" customWidth="true" hidden="false" max="262" min="262" style="0" width="9"/>
    <col collapsed="false" customWidth="true" hidden="false" max="263" min="263" style="0" width="9"/>
    <col collapsed="false" customWidth="true" hidden="false" max="264" min="264" style="0" width="9"/>
    <col collapsed="false" customWidth="true" hidden="false" max="265" min="265" style="0" width="9"/>
    <col collapsed="false" customWidth="true" hidden="false" max="266" min="266" style="0" width="9"/>
    <col collapsed="false" customWidth="true" hidden="false" max="267" min="267" style="0" width="9"/>
    <col collapsed="false" customWidth="true" hidden="false" max="268" min="268" style="0" width="9"/>
    <col collapsed="false" customWidth="true" hidden="false" max="269" min="269" style="0" width="9"/>
    <col collapsed="false" customWidth="true" hidden="false" max="270" min="270" style="0" width="9"/>
    <col collapsed="false" customWidth="true" hidden="false" max="271" min="271" style="0" width="9"/>
    <col collapsed="false" customWidth="true" hidden="false" max="272" min="272" style="0" width="9"/>
    <col collapsed="false" customWidth="true" hidden="false" max="273" min="273" style="0" width="9"/>
    <col collapsed="false" customWidth="true" hidden="false" max="274" min="274" style="0" width="9"/>
    <col collapsed="false" customWidth="true" hidden="false" max="275" min="275" style="0" width="9"/>
    <col collapsed="false" customWidth="true" hidden="false" max="276" min="276" style="0" width="9"/>
    <col collapsed="false" customWidth="true" hidden="false" max="277" min="277" style="0" width="9"/>
    <col collapsed="false" customWidth="true" hidden="false" max="278" min="278" style="0" width="9"/>
    <col collapsed="false" customWidth="true" hidden="false" max="279" min="279" style="0" width="9"/>
    <col collapsed="false" customWidth="true" hidden="false" max="280" min="280" style="0" width="9"/>
    <col collapsed="false" customWidth="true" hidden="false" max="281" min="281" style="0" width="9"/>
    <col collapsed="false" customWidth="true" hidden="false" max="282" min="282" style="0" width="9"/>
    <col collapsed="false" customWidth="true" hidden="false" max="283" min="283" style="0" width="9"/>
    <col collapsed="false" customWidth="true" hidden="false" max="284" min="284" style="0" width="9"/>
    <col collapsed="false" customWidth="true" hidden="false" max="285" min="285" style="0" width="9"/>
    <col collapsed="false" customWidth="true" hidden="false" max="286" min="286" style="0" width="9"/>
    <col collapsed="false" customWidth="true" hidden="false" max="287" min="287" style="0" width="9"/>
    <col collapsed="false" customWidth="true" hidden="false" max="288" min="288" style="0" width="9"/>
    <col collapsed="false" customWidth="true" hidden="false" max="289" min="289" style="0" width="9"/>
    <col collapsed="false" customWidth="true" hidden="false" max="290" min="290" style="0" width="9"/>
    <col collapsed="false" customWidth="true" hidden="false" max="291" min="291" style="0" width="9"/>
    <col collapsed="false" customWidth="true" hidden="false" max="292" min="292" style="0" width="9"/>
    <col collapsed="false" customWidth="true" hidden="false" max="293" min="293" style="0" width="9"/>
    <col collapsed="false" customWidth="true" hidden="false" max="294" min="294" style="0" width="9"/>
    <col collapsed="false" customWidth="true" hidden="false" max="295" min="295" style="0" width="9"/>
    <col collapsed="false" customWidth="true" hidden="false" max="296" min="296" style="0" width="9"/>
    <col collapsed="false" customWidth="true" hidden="false" max="297" min="297" style="0" width="9"/>
    <col collapsed="false" customWidth="true" hidden="false" max="298" min="298" style="0" width="9"/>
    <col collapsed="false" customWidth="true" hidden="false" max="299" min="299" style="0" width="9"/>
    <col collapsed="false" customWidth="true" hidden="false" max="300" min="300" style="0" width="9"/>
    <col collapsed="false" customWidth="true" hidden="false" max="301" min="301" style="0" width="9"/>
    <col collapsed="false" customWidth="true" hidden="false" max="302" min="302" style="0" width="9"/>
    <col collapsed="false" customWidth="true" hidden="false" max="303" min="303" style="0" width="9"/>
    <col collapsed="false" customWidth="true" hidden="false" max="304" min="304" style="0" width="9"/>
    <col collapsed="false" customWidth="true" hidden="false" max="305" min="305" style="0" width="9"/>
    <col collapsed="false" customWidth="true" hidden="false" max="306" min="306" style="0" width="9"/>
    <col collapsed="false" customWidth="true" hidden="false" max="307" min="307" style="0" width="9"/>
    <col collapsed="false" customWidth="true" hidden="false" max="308" min="308" style="0" width="9"/>
    <col collapsed="false" customWidth="true" hidden="false" max="309" min="309" style="0" width="9"/>
    <col collapsed="false" customWidth="true" hidden="false" max="310" min="310" style="0" width="9"/>
    <col collapsed="false" customWidth="true" hidden="false" max="311" min="311" style="0" width="9"/>
    <col collapsed="false" customWidth="true" hidden="false" max="312" min="312" style="0" width="9"/>
    <col collapsed="false" customWidth="true" hidden="false" max="313" min="313" style="0" width="9"/>
    <col collapsed="false" customWidth="true" hidden="false" max="314" min="314" style="0" width="9"/>
    <col collapsed="false" customWidth="true" hidden="false" max="315" min="315" style="0" width="9"/>
    <col collapsed="false" customWidth="true" hidden="false" max="316" min="316" style="0" width="9"/>
    <col collapsed="false" customWidth="true" hidden="false" max="317" min="317" style="0" width="9"/>
    <col collapsed="false" customWidth="true" hidden="false" max="318" min="318" style="0" width="9"/>
    <col collapsed="false" customWidth="true" hidden="false" max="319" min="319" style="0" width="9"/>
    <col collapsed="false" customWidth="true" hidden="false" max="320" min="320" style="0" width="9"/>
    <col collapsed="false" customWidth="true" hidden="false" max="321" min="321" style="0" width="9"/>
    <col collapsed="false" customWidth="true" hidden="false" max="322" min="322" style="0" width="9"/>
    <col collapsed="false" customWidth="true" hidden="false" max="323" min="323" style="0" width="9"/>
    <col collapsed="false" customWidth="true" hidden="false" max="324" min="324" style="0" width="9"/>
    <col collapsed="false" customWidth="true" hidden="false" max="325" min="325" style="0" width="9"/>
    <col collapsed="false" customWidth="true" hidden="false" max="326" min="326" style="0" width="9"/>
    <col collapsed="false" customWidth="true" hidden="false" max="327" min="327" style="0" width="9"/>
    <col collapsed="false" customWidth="true" hidden="false" max="328" min="328" style="0" width="9"/>
    <col collapsed="false" customWidth="true" hidden="false" max="329" min="329" style="0" width="9"/>
    <col collapsed="false" customWidth="true" hidden="false" max="330" min="330" style="0" width="9"/>
    <col collapsed="false" customWidth="true" hidden="false" max="331" min="331" style="0" width="9"/>
    <col collapsed="false" customWidth="true" hidden="false" max="332" min="332" style="0" width="9"/>
    <col collapsed="false" customWidth="true" hidden="false" max="333" min="333" style="0" width="9"/>
    <col collapsed="false" customWidth="true" hidden="false" max="334" min="334" style="0" width="9"/>
    <col collapsed="false" customWidth="true" hidden="false" max="335" min="335" style="0" width="9"/>
    <col collapsed="false" customWidth="true" hidden="false" max="336" min="336" style="0" width="9"/>
    <col collapsed="false" customWidth="true" hidden="false" max="337" min="337" style="0" width="9"/>
    <col collapsed="false" customWidth="true" hidden="false" max="338" min="338" style="0" width="9"/>
    <col collapsed="false" customWidth="true" hidden="false" max="339" min="339" style="0" width="9"/>
    <col collapsed="false" customWidth="true" hidden="false" max="340" min="340" style="0" width="9"/>
    <col collapsed="false" customWidth="true" hidden="false" max="341" min="341" style="0" width="9"/>
    <col collapsed="false" customWidth="true" hidden="false" max="342" min="342" style="0" width="9"/>
    <col collapsed="false" customWidth="true" hidden="false" max="343" min="343" style="0" width="9"/>
    <col collapsed="false" customWidth="true" hidden="false" max="344" min="344" style="0" width="9"/>
    <col collapsed="false" customWidth="true" hidden="false" max="345" min="345" style="0" width="9"/>
    <col collapsed="false" customWidth="true" hidden="false" max="346" min="346" style="0" width="9"/>
    <col collapsed="false" customWidth="true" hidden="false" max="347" min="347" style="0" width="9"/>
    <col collapsed="false" customWidth="true" hidden="false" max="348" min="348" style="0" width="9"/>
    <col collapsed="false" customWidth="true" hidden="false" max="349" min="349" style="0" width="9"/>
    <col collapsed="false" customWidth="true" hidden="false" max="350" min="350" style="0" width="9"/>
    <col collapsed="false" customWidth="true" hidden="false" max="351" min="351" style="0" width="9"/>
    <col collapsed="false" customWidth="true" hidden="false" max="352" min="352" style="0" width="9"/>
    <col collapsed="false" customWidth="true" hidden="false" max="353" min="353" style="0" width="9"/>
    <col collapsed="false" customWidth="true" hidden="false" max="354" min="354" style="0" width="9"/>
    <col collapsed="false" customWidth="true" hidden="false" max="355" min="355" style="0" width="9"/>
    <col collapsed="false" customWidth="true" hidden="false" max="356" min="356" style="0" width="9"/>
    <col collapsed="false" customWidth="true" hidden="false" max="357" min="357" style="0" width="9"/>
    <col collapsed="false" customWidth="true" hidden="false" max="358" min="358" style="0" width="9"/>
    <col collapsed="false" customWidth="true" hidden="false" max="359" min="359" style="0" width="9"/>
    <col collapsed="false" customWidth="true" hidden="false" max="360" min="360" style="0" width="9"/>
    <col collapsed="false" customWidth="true" hidden="false" max="361" min="361" style="0" width="9"/>
    <col collapsed="false" customWidth="true" hidden="false" max="362" min="362" style="0" width="9"/>
    <col collapsed="false" customWidth="true" hidden="false" max="363" min="363" style="0" width="9"/>
    <col collapsed="false" customWidth="true" hidden="false" max="364" min="364" style="0" width="9"/>
    <col collapsed="false" customWidth="true" hidden="false" max="365" min="365" style="0" width="9"/>
    <col collapsed="false" customWidth="true" hidden="false" max="366" min="366" style="0" width="9"/>
    <col collapsed="false" customWidth="true" hidden="false" max="367" min="367" style="0" width="9"/>
    <col collapsed="false" customWidth="true" hidden="false" max="368" min="368" style="0" width="9"/>
    <col collapsed="false" customWidth="true" hidden="false" max="369" min="369" style="0" width="9"/>
    <col collapsed="false" customWidth="true" hidden="false" max="370" min="370" style="0" width="9"/>
    <col collapsed="false" customWidth="true" hidden="false" max="371" min="371" style="0" width="9"/>
    <col collapsed="false" customWidth="true" hidden="false" max="372" min="372" style="0" width="9"/>
    <col collapsed="false" customWidth="true" hidden="false" max="373" min="373" style="0" width="9"/>
    <col collapsed="false" customWidth="true" hidden="false" max="374" min="374" style="0" width="9"/>
    <col collapsed="false" customWidth="true" hidden="false" max="375" min="375" style="0" width="9"/>
    <col collapsed="false" customWidth="true" hidden="false" max="376" min="376" style="0" width="9"/>
    <col collapsed="false" customWidth="true" hidden="false" max="377" min="377" style="0" width="9"/>
    <col collapsed="false" customWidth="true" hidden="false" max="378" min="378" style="0" width="9"/>
    <col collapsed="false" customWidth="true" hidden="false" max="379" min="379" style="0" width="9"/>
    <col collapsed="false" customWidth="true" hidden="false" max="380" min="380" style="0" width="9"/>
    <col collapsed="false" customWidth="true" hidden="false" max="381" min="381" style="0" width="9"/>
    <col collapsed="false" customWidth="true" hidden="false" max="382" min="382" style="0" width="9"/>
    <col collapsed="false" customWidth="true" hidden="false" max="383" min="383" style="0" width="9"/>
    <col collapsed="false" customWidth="true" hidden="false" max="384" min="384" style="0" width="9"/>
    <col collapsed="false" customWidth="true" hidden="false" max="385" min="385" style="0" width="9"/>
    <col collapsed="false" customWidth="true" hidden="false" max="386" min="386" style="0" width="9"/>
    <col collapsed="false" customWidth="true" hidden="false" max="387" min="387" style="0" width="9"/>
    <col collapsed="false" customWidth="true" hidden="false" max="388" min="388" style="0" width="9"/>
    <col collapsed="false" customWidth="true" hidden="false" max="389" min="389" style="0" width="9"/>
    <col collapsed="false" customWidth="true" hidden="false" max="390" min="390" style="0" width="9"/>
    <col collapsed="false" customWidth="true" hidden="false" max="391" min="391" style="0" width="9"/>
    <col collapsed="false" customWidth="true" hidden="false" max="392" min="392" style="0" width="9"/>
    <col collapsed="false" customWidth="true" hidden="false" max="393" min="393" style="0" width="9"/>
    <col collapsed="false" customWidth="true" hidden="false" max="394" min="394" style="0" width="9"/>
    <col collapsed="false" customWidth="true" hidden="false" max="395" min="395" style="0" width="9"/>
    <col collapsed="false" customWidth="true" hidden="false" max="396" min="396" style="0" width="9"/>
    <col collapsed="false" customWidth="true" hidden="false" max="397" min="397" style="0" width="9"/>
    <col collapsed="false" customWidth="true" hidden="false" max="398" min="398" style="0" width="9"/>
    <col collapsed="false" customWidth="true" hidden="false" max="399" min="399" style="0" width="9"/>
    <col collapsed="false" customWidth="true" hidden="false" max="400" min="400" style="0" width="9"/>
    <col collapsed="false" customWidth="true" hidden="false" max="401" min="401" style="0" width="9"/>
    <col collapsed="false" customWidth="true" hidden="false" max="402" min="402" style="0" width="9"/>
    <col collapsed="false" customWidth="true" hidden="false" max="403" min="403" style="0" width="9"/>
    <col collapsed="false" customWidth="true" hidden="false" max="404" min="404" style="0" width="9"/>
    <col collapsed="false" customWidth="true" hidden="false" max="405" min="405" style="0" width="9"/>
    <col collapsed="false" customWidth="true" hidden="false" max="406" min="406" style="0" width="9"/>
    <col collapsed="false" customWidth="true" hidden="false" max="407" min="407" style="0" width="9"/>
    <col collapsed="false" customWidth="true" hidden="false" max="408" min="408" style="0" width="9"/>
    <col collapsed="false" customWidth="true" hidden="false" max="409" min="409" style="0" width="9"/>
    <col collapsed="false" customWidth="true" hidden="false" max="410" min="410" style="0" width="9"/>
    <col collapsed="false" customWidth="true" hidden="false" max="411" min="411" style="0" width="9"/>
    <col collapsed="false" customWidth="true" hidden="false" max="412" min="412" style="0" width="9"/>
    <col collapsed="false" customWidth="true" hidden="false" max="413" min="413" style="0" width="9"/>
    <col collapsed="false" customWidth="true" hidden="false" max="414" min="414" style="0" width="9"/>
    <col collapsed="false" customWidth="true" hidden="false" max="415" min="415" style="0" width="9"/>
    <col collapsed="false" customWidth="true" hidden="false" max="416" min="416" style="0" width="9"/>
    <col collapsed="false" customWidth="true" hidden="false" max="417" min="417" style="0" width="9"/>
    <col collapsed="false" customWidth="true" hidden="false" max="418" min="418" style="0" width="9"/>
  </cols>
  <sheetData>
    <row customHeight="true" ht="19" r="1">
      <c r="A1" s="12" t="str">
        <v>序号</v>
      </c>
      <c r="B1" s="51" t="str">
        <v>2026年代理购电价格</v>
      </c>
      <c r="C1" s="52" t="str">
        <v>省份</v>
      </c>
      <c r="D1" s="12" t="str">
        <v>1月</v>
      </c>
      <c r="E1" s="12" t="str">
        <v>2月</v>
      </c>
      <c r="F1" s="12" t="str">
        <v>3月</v>
      </c>
      <c r="G1" s="12" t="str">
        <v>4月</v>
      </c>
      <c r="H1" s="12" t="str">
        <v>5月</v>
      </c>
      <c r="I1" s="12" t="str">
        <v>6月</v>
      </c>
      <c r="J1" s="12" t="str">
        <v>7月</v>
      </c>
      <c r="K1" s="12" t="str">
        <v>8月</v>
      </c>
      <c r="L1" s="12" t="str">
        <v>9月</v>
      </c>
      <c r="M1" s="12" t="str">
        <v>10月</v>
      </c>
      <c r="N1" s="12" t="str">
        <v>11月</v>
      </c>
      <c r="O1" s="12" t="str">
        <v>12月</v>
      </c>
      <c r="P1" s="51" t="str">
        <v>省份</v>
      </c>
      <c r="Q1" s="53" t="str">
        <v>1月</v>
      </c>
      <c r="R1" s="53" t="str">
        <v>2月</v>
      </c>
      <c r="S1" s="53" t="str">
        <v>3月</v>
      </c>
      <c r="T1" s="53" t="str">
        <v>4月</v>
      </c>
      <c r="U1" s="53" t="str">
        <v>5月</v>
      </c>
      <c r="V1" s="53" t="str">
        <v>6月</v>
      </c>
      <c r="W1" s="53" t="str">
        <v>7月</v>
      </c>
      <c r="X1" s="53" t="str">
        <v>8月</v>
      </c>
      <c r="Y1" s="53" t="str">
        <v>9月</v>
      </c>
      <c r="Z1" s="53" t="str">
        <v>10月</v>
      </c>
      <c r="AA1" s="53" t="str">
        <v>11月</v>
      </c>
      <c r="AB1" s="53" t="str">
        <v>12月</v>
      </c>
      <c r="AC1" s="52" t="str">
        <v>省份</v>
      </c>
      <c r="AD1" s="12" t="str">
        <v>1月</v>
      </c>
      <c r="AE1" s="12" t="str">
        <v>2月</v>
      </c>
      <c r="AF1" s="12" t="str">
        <v>3月</v>
      </c>
      <c r="AG1" s="12" t="str">
        <v>4月</v>
      </c>
      <c r="AH1" s="12" t="str">
        <v>5月</v>
      </c>
      <c r="AI1" s="12" t="str">
        <v>6月</v>
      </c>
      <c r="AJ1" s="12" t="str">
        <v>7月</v>
      </c>
      <c r="AK1" s="12" t="str">
        <v>8月</v>
      </c>
      <c r="AL1" s="12" t="str">
        <v>9月</v>
      </c>
      <c r="AM1" s="12" t="str">
        <v>10月</v>
      </c>
      <c r="AN1" s="12" t="str">
        <v>11月</v>
      </c>
      <c r="AO1" s="12" t="str">
        <v>12月</v>
      </c>
      <c r="AP1" s="51" t="str">
        <v>省份</v>
      </c>
      <c r="AQ1" s="53" t="str">
        <v>1月</v>
      </c>
      <c r="AR1" s="53" t="str">
        <v>2月</v>
      </c>
      <c r="AS1" s="53" t="str">
        <v>3月</v>
      </c>
      <c r="AT1" s="53" t="str">
        <v>4月</v>
      </c>
      <c r="AU1" s="53" t="str">
        <v>5月</v>
      </c>
      <c r="AV1" s="53" t="str">
        <v>6月</v>
      </c>
      <c r="AW1" s="53" t="str">
        <v>7月</v>
      </c>
      <c r="AX1" s="53" t="str">
        <v>8月</v>
      </c>
      <c r="AY1" s="53" t="str">
        <v>9月</v>
      </c>
      <c r="AZ1" s="53" t="str">
        <v>10月</v>
      </c>
      <c r="BA1" s="53" t="str">
        <v>11月</v>
      </c>
      <c r="BB1" s="53" t="str">
        <v>12月</v>
      </c>
      <c r="BC1" s="52" t="str">
        <v>省份</v>
      </c>
      <c r="BD1" s="12" t="str">
        <v>1月</v>
      </c>
      <c r="BE1" s="12" t="str">
        <v>2月</v>
      </c>
      <c r="BF1" s="12" t="str">
        <v>3月</v>
      </c>
      <c r="BG1" s="12" t="str">
        <v>4月</v>
      </c>
      <c r="BH1" s="12" t="str">
        <v>5月</v>
      </c>
      <c r="BI1" s="12" t="str">
        <v>6月</v>
      </c>
      <c r="BJ1" s="12" t="str">
        <v>7月</v>
      </c>
      <c r="BK1" s="12" t="str">
        <v>8月</v>
      </c>
      <c r="BL1" s="12" t="str">
        <v>9月</v>
      </c>
      <c r="BM1" s="12" t="str">
        <v>10月</v>
      </c>
      <c r="BN1" s="12" t="str">
        <v>11月</v>
      </c>
      <c r="BO1" s="12" t="str">
        <v>12月</v>
      </c>
      <c r="BP1" s="51" t="str">
        <v>省份</v>
      </c>
      <c r="BQ1" s="53" t="str">
        <v>1月</v>
      </c>
      <c r="BR1" s="53" t="str">
        <v>2月</v>
      </c>
      <c r="BS1" s="53" t="str">
        <v>3月</v>
      </c>
      <c r="BT1" s="53" t="str">
        <v>4月</v>
      </c>
      <c r="BU1" s="53" t="str">
        <v>5月</v>
      </c>
      <c r="BV1" s="53" t="str">
        <v>6月</v>
      </c>
      <c r="BW1" s="53" t="str">
        <v>7月</v>
      </c>
      <c r="BX1" s="53" t="str">
        <v>8月</v>
      </c>
      <c r="BY1" s="53" t="str">
        <v>9月</v>
      </c>
      <c r="BZ1" s="53" t="str">
        <v>10月</v>
      </c>
      <c r="CA1" s="53" t="str">
        <v>11月</v>
      </c>
      <c r="CB1" s="53" t="str">
        <v>12月</v>
      </c>
      <c r="CC1" s="52" t="str">
        <v>省份</v>
      </c>
      <c r="CD1" s="12" t="str">
        <v>1月</v>
      </c>
      <c r="CE1" s="12" t="str">
        <v>2月</v>
      </c>
      <c r="CF1" s="12" t="str">
        <v>3月</v>
      </c>
      <c r="CG1" s="12" t="str">
        <v>4月</v>
      </c>
      <c r="CH1" s="12" t="str">
        <v>5月</v>
      </c>
      <c r="CI1" s="12" t="str">
        <v>6月</v>
      </c>
      <c r="CJ1" s="12" t="str">
        <v>7月</v>
      </c>
      <c r="CK1" s="12" t="str">
        <v>8月</v>
      </c>
      <c r="CL1" s="12" t="str">
        <v>9月</v>
      </c>
      <c r="CM1" s="12" t="str">
        <v>10月</v>
      </c>
      <c r="CN1" s="12" t="str">
        <v>11月</v>
      </c>
      <c r="CO1" s="12" t="str">
        <v>12月</v>
      </c>
      <c r="CP1" s="51" t="str">
        <v>省份</v>
      </c>
      <c r="CQ1" s="53" t="str">
        <v>1月</v>
      </c>
      <c r="CR1" s="53" t="str">
        <v>2月</v>
      </c>
      <c r="CS1" s="53" t="str">
        <v>3月</v>
      </c>
      <c r="CT1" s="53" t="str">
        <v>4月</v>
      </c>
      <c r="CU1" s="53" t="str">
        <v>5月</v>
      </c>
      <c r="CV1" s="53" t="str">
        <v>6月</v>
      </c>
      <c r="CW1" s="53" t="str">
        <v>7月</v>
      </c>
      <c r="CX1" s="53" t="str">
        <v>8月</v>
      </c>
      <c r="CY1" s="53" t="str">
        <v>9月</v>
      </c>
      <c r="CZ1" s="53" t="str">
        <v>10月</v>
      </c>
      <c r="DA1" s="53" t="str">
        <v>11月</v>
      </c>
      <c r="DB1" s="53" t="str">
        <v>12月</v>
      </c>
      <c r="DC1" s="52" t="str">
        <v>省份</v>
      </c>
      <c r="DD1" s="12" t="str">
        <v>1月</v>
      </c>
      <c r="DE1" s="12" t="str">
        <v>2月</v>
      </c>
      <c r="DF1" s="12" t="str">
        <v>3月</v>
      </c>
      <c r="DG1" s="12" t="str">
        <v>4月</v>
      </c>
      <c r="DH1" s="12" t="str">
        <v>5月</v>
      </c>
      <c r="DI1" s="12" t="str">
        <v>6月</v>
      </c>
      <c r="DJ1" s="12" t="str">
        <v>7月</v>
      </c>
      <c r="DK1" s="12" t="str">
        <v>8月</v>
      </c>
      <c r="DL1" s="12" t="str">
        <v>9月</v>
      </c>
      <c r="DM1" s="12" t="str">
        <v>10月</v>
      </c>
      <c r="DN1" s="12" t="str">
        <v>11月</v>
      </c>
      <c r="DO1" s="12" t="str">
        <v>12月</v>
      </c>
      <c r="DP1" s="51" t="str">
        <v>省份</v>
      </c>
      <c r="DQ1" s="53" t="str">
        <v>1月</v>
      </c>
      <c r="DR1" s="53" t="str">
        <v>2月</v>
      </c>
      <c r="DS1" s="53" t="str">
        <v>3月</v>
      </c>
      <c r="DT1" s="53" t="str">
        <v>4月</v>
      </c>
      <c r="DU1" s="53" t="str">
        <v>5月</v>
      </c>
      <c r="DV1" s="53" t="str">
        <v>6月</v>
      </c>
      <c r="DW1" s="53" t="str">
        <v>7月</v>
      </c>
      <c r="DX1" s="53" t="str">
        <v>8月</v>
      </c>
      <c r="DY1" s="53" t="str">
        <v>9月</v>
      </c>
      <c r="DZ1" s="53" t="str">
        <v>10月</v>
      </c>
      <c r="EA1" s="53" t="str">
        <v>11月</v>
      </c>
      <c r="EB1" s="53" t="str">
        <v>12月</v>
      </c>
      <c r="EC1" s="52" t="str">
        <v>省份</v>
      </c>
      <c r="ED1" s="12" t="str">
        <v>1月</v>
      </c>
      <c r="EE1" s="12" t="str">
        <v>2月</v>
      </c>
      <c r="EF1" s="12" t="str">
        <v>3月</v>
      </c>
      <c r="EG1" s="12" t="str">
        <v>4月</v>
      </c>
      <c r="EH1" s="12" t="str">
        <v>5月</v>
      </c>
      <c r="EI1" s="12" t="str">
        <v>6月</v>
      </c>
      <c r="EJ1" s="12" t="str">
        <v>7月</v>
      </c>
      <c r="EK1" s="12" t="str">
        <v>8月</v>
      </c>
      <c r="EL1" s="12" t="str">
        <v>9月</v>
      </c>
      <c r="EM1" s="12" t="str">
        <v>10月</v>
      </c>
      <c r="EN1" s="12" t="str">
        <v>11月</v>
      </c>
      <c r="EO1" s="12" t="str">
        <v>12月</v>
      </c>
      <c r="EP1" s="51" t="str">
        <v>省份</v>
      </c>
      <c r="EQ1" s="53" t="str">
        <v>1月</v>
      </c>
      <c r="ER1" s="53" t="str">
        <v>2月</v>
      </c>
      <c r="ES1" s="53" t="str">
        <v>3月</v>
      </c>
      <c r="ET1" s="53" t="str">
        <v>4月</v>
      </c>
      <c r="EU1" s="53" t="str">
        <v>5月</v>
      </c>
      <c r="EV1" s="53" t="str">
        <v>6月</v>
      </c>
      <c r="EW1" s="53" t="str">
        <v>7月</v>
      </c>
      <c r="EX1" s="53" t="str">
        <v>8月</v>
      </c>
      <c r="EY1" s="53" t="str">
        <v>9月</v>
      </c>
      <c r="EZ1" s="53" t="str">
        <v>10月</v>
      </c>
      <c r="FA1" s="53" t="str">
        <v>11月</v>
      </c>
      <c r="FB1" s="53" t="str">
        <v>12月</v>
      </c>
      <c r="FC1" s="52" t="str">
        <v>省份</v>
      </c>
      <c r="FD1" s="12" t="str">
        <v>1月</v>
      </c>
      <c r="FE1" s="12" t="str">
        <v>2月</v>
      </c>
      <c r="FF1" s="12" t="str">
        <v>3月</v>
      </c>
      <c r="FG1" s="12" t="str">
        <v>4月</v>
      </c>
      <c r="FH1" s="12" t="str">
        <v>5月</v>
      </c>
      <c r="FI1" s="12" t="str">
        <v>6月</v>
      </c>
      <c r="FJ1" s="12" t="str">
        <v>7月</v>
      </c>
      <c r="FK1" s="12" t="str">
        <v>8月</v>
      </c>
      <c r="FL1" s="12" t="str">
        <v>9月</v>
      </c>
      <c r="FM1" s="12" t="str">
        <v>10月</v>
      </c>
      <c r="FN1" s="12" t="str">
        <v>11月</v>
      </c>
      <c r="FO1" s="12" t="str">
        <v>12月</v>
      </c>
      <c r="FP1" s="51" t="str">
        <v>省份</v>
      </c>
      <c r="FQ1" s="53" t="str">
        <v>1月</v>
      </c>
      <c r="FR1" s="53" t="str">
        <v>2月</v>
      </c>
      <c r="FS1" s="53" t="str">
        <v>3月</v>
      </c>
      <c r="FT1" s="53" t="str">
        <v>4月</v>
      </c>
      <c r="FU1" s="53" t="str">
        <v>5月</v>
      </c>
      <c r="FV1" s="53" t="str">
        <v>6月</v>
      </c>
      <c r="FW1" s="53" t="str">
        <v>7月</v>
      </c>
      <c r="FX1" s="53" t="str">
        <v>8月</v>
      </c>
      <c r="FY1" s="53" t="str">
        <v>9月</v>
      </c>
      <c r="FZ1" s="53" t="str">
        <v>10月</v>
      </c>
      <c r="GA1" s="53" t="str">
        <v>11月</v>
      </c>
      <c r="GB1" s="53" t="str">
        <v>12月</v>
      </c>
      <c r="GC1" s="52" t="str">
        <v>省份</v>
      </c>
      <c r="GD1" s="12" t="str">
        <v>1月</v>
      </c>
      <c r="GE1" s="12" t="str">
        <v>2月</v>
      </c>
      <c r="GF1" s="12" t="str">
        <v>3月</v>
      </c>
      <c r="GG1" s="12" t="str">
        <v>4月</v>
      </c>
      <c r="GH1" s="12" t="str">
        <v>5月</v>
      </c>
      <c r="GI1" s="12" t="str">
        <v>6月</v>
      </c>
      <c r="GJ1" s="12" t="str">
        <v>7月</v>
      </c>
      <c r="GK1" s="12" t="str">
        <v>8月</v>
      </c>
      <c r="GL1" s="12" t="str">
        <v>9月</v>
      </c>
      <c r="GM1" s="12" t="str">
        <v>10月</v>
      </c>
      <c r="GN1" s="12" t="str">
        <v>11月</v>
      </c>
      <c r="GO1" s="12" t="str">
        <v>12月</v>
      </c>
      <c r="GP1" s="51" t="str">
        <v>省份</v>
      </c>
      <c r="GQ1" s="53" t="str">
        <v>1月</v>
      </c>
      <c r="GR1" s="53" t="str">
        <v>2月</v>
      </c>
      <c r="GS1" s="53" t="str">
        <v>3月</v>
      </c>
      <c r="GT1" s="53" t="str">
        <v>4月</v>
      </c>
      <c r="GU1" s="53" t="str">
        <v>5月</v>
      </c>
      <c r="GV1" s="53" t="str">
        <v>6月</v>
      </c>
      <c r="GW1" s="53" t="str">
        <v>7月</v>
      </c>
      <c r="GX1" s="53" t="str">
        <v>8月</v>
      </c>
      <c r="GY1" s="53" t="str">
        <v>9月</v>
      </c>
      <c r="GZ1" s="53" t="str">
        <v>10月</v>
      </c>
      <c r="HA1" s="53" t="str">
        <v>11月</v>
      </c>
      <c r="HB1" s="53" t="str">
        <v>12月</v>
      </c>
      <c r="HC1" s="52" t="str">
        <v>省份</v>
      </c>
      <c r="HD1" s="12" t="str">
        <v>1月</v>
      </c>
      <c r="HE1" s="12" t="str">
        <v>2月</v>
      </c>
      <c r="HF1" s="12" t="str">
        <v>3月</v>
      </c>
      <c r="HG1" s="12" t="str">
        <v>4月</v>
      </c>
      <c r="HH1" s="12" t="str">
        <v>5月</v>
      </c>
      <c r="HI1" s="12" t="str">
        <v>6月</v>
      </c>
      <c r="HJ1" s="12" t="str">
        <v>7月</v>
      </c>
      <c r="HK1" s="12" t="str">
        <v>8月</v>
      </c>
      <c r="HL1" s="12" t="str">
        <v>9月</v>
      </c>
      <c r="HM1" s="12" t="str">
        <v>10月</v>
      </c>
      <c r="HN1" s="12" t="str">
        <v>11月</v>
      </c>
      <c r="HO1" s="12" t="str">
        <v>12月</v>
      </c>
      <c r="HP1" s="51" t="str">
        <v>省份</v>
      </c>
      <c r="HQ1" s="53" t="str">
        <v>1月</v>
      </c>
      <c r="HR1" s="53" t="str">
        <v>2月</v>
      </c>
      <c r="HS1" s="53" t="str">
        <v>3月</v>
      </c>
      <c r="HT1" s="53" t="str">
        <v>4月</v>
      </c>
      <c r="HU1" s="53" t="str">
        <v>5月</v>
      </c>
      <c r="HV1" s="53" t="str">
        <v>6月</v>
      </c>
      <c r="HW1" s="53" t="str">
        <v>7月</v>
      </c>
      <c r="HX1" s="53" t="str">
        <v>8月</v>
      </c>
      <c r="HY1" s="53" t="str">
        <v>9月</v>
      </c>
      <c r="HZ1" s="53" t="str">
        <v>10月</v>
      </c>
      <c r="IA1" s="53" t="str">
        <v>11月</v>
      </c>
      <c r="IB1" s="53" t="str">
        <v>12月</v>
      </c>
      <c r="IC1" s="52" t="str">
        <v>省份</v>
      </c>
      <c r="ID1" s="12" t="str">
        <v>1月</v>
      </c>
      <c r="IE1" s="12" t="str">
        <v>2月</v>
      </c>
      <c r="IF1" s="12" t="str">
        <v>3月</v>
      </c>
      <c r="IG1" s="12" t="str">
        <v>4月</v>
      </c>
      <c r="IH1" s="12" t="str">
        <v>5月</v>
      </c>
      <c r="II1" s="12" t="str">
        <v>6月</v>
      </c>
      <c r="IJ1" s="12" t="str">
        <v>7月</v>
      </c>
      <c r="IK1" s="12" t="str">
        <v>8月</v>
      </c>
      <c r="IL1" s="12" t="str">
        <v>9月</v>
      </c>
      <c r="IM1" s="12" t="str">
        <v>10月</v>
      </c>
      <c r="IN1" s="12" t="str">
        <v>11月</v>
      </c>
      <c r="IO1" s="12" t="str">
        <v>12月</v>
      </c>
      <c r="IP1" s="51" t="str">
        <v>省份</v>
      </c>
      <c r="IQ1" s="53" t="str">
        <v>1月</v>
      </c>
      <c r="IR1" s="53" t="str">
        <v>2月</v>
      </c>
      <c r="IS1" s="53" t="str">
        <v>3月</v>
      </c>
      <c r="IT1" s="53" t="str">
        <v>4月</v>
      </c>
      <c r="IU1" s="53" t="str">
        <v>5月</v>
      </c>
      <c r="IV1" s="53" t="str">
        <v>6月</v>
      </c>
      <c r="IW1" s="53" t="str">
        <v>7月</v>
      </c>
      <c r="IX1" s="53" t="str">
        <v>8月</v>
      </c>
      <c r="IY1" s="53" t="str">
        <v>9月</v>
      </c>
      <c r="IZ1" s="53" t="str">
        <v>10月</v>
      </c>
      <c r="JA1" s="53" t="str">
        <v>11月</v>
      </c>
      <c r="JB1" s="53" t="str">
        <v>12月</v>
      </c>
      <c r="JC1" s="52" t="str">
        <v>省份</v>
      </c>
      <c r="JD1" s="12" t="str">
        <v>1月</v>
      </c>
      <c r="JE1" s="12" t="str">
        <v>2月</v>
      </c>
      <c r="JF1" s="12" t="str">
        <v>3月</v>
      </c>
      <c r="JG1" s="12" t="str">
        <v>4月</v>
      </c>
      <c r="JH1" s="12" t="str">
        <v>5月</v>
      </c>
      <c r="JI1" s="12" t="str">
        <v>6月</v>
      </c>
      <c r="JJ1" s="12" t="str">
        <v>7月</v>
      </c>
      <c r="JK1" s="12" t="str">
        <v>8月</v>
      </c>
      <c r="JL1" s="12" t="str">
        <v>9月</v>
      </c>
      <c r="JM1" s="12" t="str">
        <v>10月</v>
      </c>
      <c r="JN1" s="12" t="str">
        <v>11月</v>
      </c>
      <c r="JO1" s="12" t="str">
        <v>12月</v>
      </c>
      <c r="JP1" s="51" t="str">
        <v>省份</v>
      </c>
      <c r="JQ1" s="53" t="str">
        <v>1月</v>
      </c>
      <c r="JR1" s="53" t="str">
        <v>2月</v>
      </c>
      <c r="JS1" s="53" t="str">
        <v>3月</v>
      </c>
      <c r="JT1" s="53" t="str">
        <v>4月</v>
      </c>
      <c r="JU1" s="53" t="str">
        <v>5月</v>
      </c>
      <c r="JV1" s="53" t="str">
        <v>6月</v>
      </c>
      <c r="JW1" s="53" t="str">
        <v>7月</v>
      </c>
      <c r="JX1" s="53" t="str">
        <v>8月</v>
      </c>
      <c r="JY1" s="53" t="str">
        <v>9月</v>
      </c>
      <c r="JZ1" s="53" t="str">
        <v>10月</v>
      </c>
      <c r="KA1" s="53" t="str">
        <v>11月</v>
      </c>
      <c r="KB1" s="53" t="str">
        <v>12月</v>
      </c>
      <c r="KC1" s="52" t="str">
        <v>省份</v>
      </c>
      <c r="KD1" s="12" t="str">
        <v>1月</v>
      </c>
      <c r="KE1" s="12" t="str">
        <v>2月</v>
      </c>
      <c r="KF1" s="12" t="str">
        <v>3月</v>
      </c>
      <c r="KG1" s="12" t="str">
        <v>4月</v>
      </c>
      <c r="KH1" s="12" t="str">
        <v>5月</v>
      </c>
      <c r="KI1" s="12" t="str">
        <v>6月</v>
      </c>
      <c r="KJ1" s="12" t="str">
        <v>7月</v>
      </c>
      <c r="KK1" s="12" t="str">
        <v>8月</v>
      </c>
      <c r="KL1" s="12" t="str">
        <v>9月</v>
      </c>
      <c r="KM1" s="12" t="str">
        <v>10月</v>
      </c>
      <c r="KN1" s="12" t="str">
        <v>11月</v>
      </c>
      <c r="KO1" s="12" t="str">
        <v>12月</v>
      </c>
      <c r="KP1" s="51" t="str">
        <v>省份</v>
      </c>
      <c r="KQ1" s="53" t="str">
        <v>1月</v>
      </c>
      <c r="KR1" s="53" t="str">
        <v>2月</v>
      </c>
      <c r="KS1" s="53" t="str">
        <v>3月</v>
      </c>
      <c r="KT1" s="53" t="str">
        <v>4月</v>
      </c>
      <c r="KU1" s="53" t="str">
        <v>5月</v>
      </c>
      <c r="KV1" s="53" t="str">
        <v>6月</v>
      </c>
      <c r="KW1" s="53" t="str">
        <v>7月</v>
      </c>
      <c r="KX1" s="53" t="str">
        <v>8月</v>
      </c>
      <c r="KY1" s="53" t="str">
        <v>9月</v>
      </c>
      <c r="KZ1" s="53" t="str">
        <v>10月</v>
      </c>
      <c r="LA1" s="53" t="str">
        <v>11月</v>
      </c>
      <c r="LB1" s="53" t="str">
        <v>12月</v>
      </c>
      <c r="LC1" s="52" t="str">
        <v>省份</v>
      </c>
      <c r="LD1" s="12" t="str">
        <v>1月</v>
      </c>
      <c r="LE1" s="12" t="str">
        <v>2月</v>
      </c>
      <c r="LF1" s="12" t="str">
        <v>3月</v>
      </c>
      <c r="LG1" s="12" t="str">
        <v>4月</v>
      </c>
      <c r="LH1" s="12" t="str">
        <v>5月</v>
      </c>
      <c r="LI1" s="12" t="str">
        <v>6月</v>
      </c>
      <c r="LJ1" s="12" t="str">
        <v>7月</v>
      </c>
      <c r="LK1" s="12" t="str">
        <v>8月</v>
      </c>
      <c r="LL1" s="12" t="str">
        <v>9月</v>
      </c>
      <c r="LM1" s="12" t="str">
        <v>10月</v>
      </c>
      <c r="LN1" s="12" t="str">
        <v>11月</v>
      </c>
      <c r="LO1" s="12" t="str">
        <v>12月</v>
      </c>
      <c r="LP1" s="51" t="str">
        <v>省份</v>
      </c>
      <c r="LQ1" s="53" t="str">
        <v>1月</v>
      </c>
      <c r="LR1" s="53" t="str">
        <v>2月</v>
      </c>
      <c r="LS1" s="53" t="str">
        <v>3月</v>
      </c>
      <c r="LT1" s="53" t="str">
        <v>4月</v>
      </c>
      <c r="LU1" s="53" t="str">
        <v>5月</v>
      </c>
      <c r="LV1" s="53" t="str">
        <v>6月</v>
      </c>
      <c r="LW1" s="53" t="str">
        <v>7月</v>
      </c>
      <c r="LX1" s="53" t="str">
        <v>8月</v>
      </c>
      <c r="LY1" s="53" t="str">
        <v>9月</v>
      </c>
      <c r="LZ1" s="53" t="str">
        <v>10月</v>
      </c>
      <c r="MA1" s="53" t="str">
        <v>11月</v>
      </c>
      <c r="MB1" s="53" t="str">
        <v>12月</v>
      </c>
      <c r="MC1" s="52" t="str">
        <v>省份</v>
      </c>
      <c r="MD1" s="12" t="str">
        <v>1月</v>
      </c>
      <c r="ME1" s="12" t="str">
        <v>2月</v>
      </c>
      <c r="MF1" s="12" t="str">
        <v>3月</v>
      </c>
      <c r="MG1" s="12" t="str">
        <v>4月</v>
      </c>
      <c r="MH1" s="12" t="str">
        <v>5月</v>
      </c>
      <c r="MI1" s="12" t="str">
        <v>6月</v>
      </c>
      <c r="MJ1" s="12" t="str">
        <v>7月</v>
      </c>
      <c r="MK1" s="12" t="str">
        <v>8月</v>
      </c>
      <c r="ML1" s="12" t="str">
        <v>9月</v>
      </c>
      <c r="MM1" s="12" t="str">
        <v>10月</v>
      </c>
      <c r="MN1" s="12" t="str">
        <v>11月</v>
      </c>
      <c r="MO1" s="12" t="str">
        <v>12月</v>
      </c>
      <c r="MP1" s="51" t="str">
        <v>省份</v>
      </c>
      <c r="MQ1" s="53" t="str">
        <v>1月</v>
      </c>
      <c r="MR1" s="53" t="str">
        <v>2月</v>
      </c>
      <c r="MS1" s="53" t="str">
        <v>3月</v>
      </c>
      <c r="MT1" s="53" t="str">
        <v>4月</v>
      </c>
      <c r="MU1" s="53" t="str">
        <v>5月</v>
      </c>
      <c r="MV1" s="53" t="str">
        <v>6月</v>
      </c>
      <c r="MW1" s="53" t="str">
        <v>7月</v>
      </c>
      <c r="MX1" s="53" t="str">
        <v>8月</v>
      </c>
      <c r="MY1" s="53" t="str">
        <v>9月</v>
      </c>
      <c r="MZ1" s="53" t="str">
        <v>10月</v>
      </c>
      <c r="NA1" s="53" t="str">
        <v>11月</v>
      </c>
      <c r="NB1" s="53" t="str">
        <v>12月</v>
      </c>
      <c r="NC1" s="52" t="str">
        <v>省份</v>
      </c>
      <c r="ND1" s="12" t="str">
        <v>1月</v>
      </c>
      <c r="NE1" s="12" t="str">
        <v>2月</v>
      </c>
      <c r="NF1" s="12" t="str">
        <v>3月</v>
      </c>
      <c r="NG1" s="12" t="str">
        <v>4月</v>
      </c>
      <c r="NH1" s="12" t="str">
        <v>5月</v>
      </c>
      <c r="NI1" s="12" t="str">
        <v>6月</v>
      </c>
      <c r="NJ1" s="12" t="str">
        <v>7月</v>
      </c>
      <c r="NK1" s="12" t="str">
        <v>8月</v>
      </c>
      <c r="NL1" s="12" t="str">
        <v>9月</v>
      </c>
      <c r="NM1" s="12" t="str">
        <v>10月</v>
      </c>
      <c r="NN1" s="12" t="str">
        <v>11月</v>
      </c>
      <c r="NO1" s="12" t="str">
        <v>12月</v>
      </c>
      <c r="NP1" s="51" t="str">
        <v>省份</v>
      </c>
      <c r="NQ1" s="53" t="str">
        <v>1月</v>
      </c>
      <c r="NR1" s="53" t="str">
        <v>2月</v>
      </c>
      <c r="NS1" s="53" t="str">
        <v>3月</v>
      </c>
      <c r="NT1" s="53" t="str">
        <v>4月</v>
      </c>
      <c r="NU1" s="53" t="str">
        <v>5月</v>
      </c>
      <c r="NV1" s="53" t="str">
        <v>6月</v>
      </c>
      <c r="NW1" s="53" t="str">
        <v>7月</v>
      </c>
      <c r="NX1" s="53" t="str">
        <v>8月</v>
      </c>
      <c r="NY1" s="53" t="str">
        <v>9月</v>
      </c>
      <c r="NZ1" s="53" t="str">
        <v>10月</v>
      </c>
      <c r="OA1" s="53" t="str">
        <v>11月</v>
      </c>
      <c r="OB1" s="53" t="str">
        <v>12月</v>
      </c>
      <c r="OC1" s="52" t="str">
        <v>省份</v>
      </c>
      <c r="OD1" s="12" t="str">
        <v>1月</v>
      </c>
      <c r="OE1" s="12" t="str">
        <v>2月</v>
      </c>
      <c r="OF1" s="12" t="str">
        <v>3月</v>
      </c>
      <c r="OG1" s="12" t="str">
        <v>4月</v>
      </c>
      <c r="OH1" s="12" t="str">
        <v>5月</v>
      </c>
      <c r="OI1" s="12" t="str">
        <v>6月</v>
      </c>
      <c r="OJ1" s="12" t="str">
        <v>7月</v>
      </c>
      <c r="OK1" s="12" t="str">
        <v>8月</v>
      </c>
      <c r="OL1" s="12" t="str">
        <v>9月</v>
      </c>
      <c r="OM1" s="12" t="str">
        <v>10月</v>
      </c>
      <c r="ON1" s="12" t="str">
        <v>11月</v>
      </c>
      <c r="OO1" s="12" t="str">
        <v>12月</v>
      </c>
      <c r="OP1" s="51" t="str">
        <v>省份</v>
      </c>
      <c r="OQ1" s="53" t="str">
        <v>1月</v>
      </c>
      <c r="OR1" s="53" t="str">
        <v>2月</v>
      </c>
      <c r="OS1" s="53" t="str">
        <v>3月</v>
      </c>
      <c r="OT1" s="53" t="str">
        <v>4月</v>
      </c>
      <c r="OU1" s="53" t="str">
        <v>5月</v>
      </c>
      <c r="OV1" s="53" t="str">
        <v>6月</v>
      </c>
      <c r="OW1" s="53" t="str">
        <v>7月</v>
      </c>
      <c r="OX1" s="53" t="str">
        <v>8月</v>
      </c>
      <c r="OY1" s="53" t="str">
        <v>9月</v>
      </c>
      <c r="OZ1" s="53" t="str">
        <v>10月</v>
      </c>
      <c r="PA1" s="53" t="str">
        <v>11月</v>
      </c>
      <c r="PB1" s="53" t="str">
        <v>12月</v>
      </c>
    </row>
    <row customHeight="true" ht="19" r="2">
      <c r="A2" s="34">
        <v>1</v>
      </c>
      <c r="B2" s="39" t="str">
        <v>系统运行费用折合度电水平</v>
      </c>
      <c r="C2" s="34" t="str">
        <v>北京</v>
      </c>
      <c r="D2" s="34">
        <f>SUM(D3:D24)</f>
      </c>
      <c r="E2" s="34">
        <f>SUM(E3:E24)</f>
      </c>
      <c r="F2" s="34">
        <f>SUM(F3:F24)</f>
      </c>
      <c r="G2" s="34">
        <f>SUM(G3:G24)</f>
      </c>
      <c r="H2" s="34">
        <f>SUM(H3:H24)</f>
      </c>
      <c r="I2" s="34">
        <f>SUM(I3:I24)</f>
      </c>
      <c r="J2" s="34">
        <f>SUM(J3:J24)</f>
      </c>
      <c r="K2" s="34">
        <f>SUM(K3:K24)</f>
      </c>
      <c r="L2" s="34">
        <f>SUM(L3:L24)</f>
      </c>
      <c r="M2" s="34">
        <f>SUM(M3:M24)</f>
      </c>
      <c r="N2" s="34">
        <f>SUM(N3:N24)</f>
      </c>
      <c r="O2" s="34">
        <f>SUM(O3:O24)</f>
      </c>
      <c r="P2" s="36" t="str">
        <v>天津</v>
      </c>
      <c r="Q2" s="36">
        <f>SUM(Q3:Q24)</f>
      </c>
      <c r="R2" s="36">
        <f>SUM(R3:R24)</f>
      </c>
      <c r="S2" s="36">
        <f>SUM(S3:S24)</f>
      </c>
      <c r="T2" s="36">
        <f>SUM(T3:T24)</f>
      </c>
      <c r="U2" s="36">
        <f>SUM(U3:U24)</f>
      </c>
      <c r="V2" s="36">
        <f>SUM(V3:V24)</f>
      </c>
      <c r="W2" s="36">
        <f>SUM(W3:W24)</f>
      </c>
      <c r="X2" s="36">
        <f>SUM(X3:X24)</f>
      </c>
      <c r="Y2" s="36">
        <f>SUM(Y3:Y24)</f>
      </c>
      <c r="Z2" s="36">
        <f>SUM(Z3:Z24)</f>
      </c>
      <c r="AA2" s="36">
        <f>SUM(AA3:AA24)</f>
      </c>
      <c r="AB2" s="36">
        <f>SUM(AB3:AB24)</f>
      </c>
      <c r="AC2" s="34" t="str">
        <v>河北南网</v>
      </c>
      <c r="AD2" s="34">
        <f>SUM(AD3:AD24)</f>
      </c>
      <c r="AE2" s="34">
        <f>SUM(AE3:AE24)</f>
      </c>
      <c r="AF2" s="34">
        <f>SUM(AF3:AF24)</f>
      </c>
      <c r="AG2" s="34">
        <f>SUM(AG3:AG24)</f>
      </c>
      <c r="AH2" s="34">
        <f>SUM(AH3:AH24)</f>
      </c>
      <c r="AI2" s="34">
        <f>SUM(AI3:AI24)</f>
      </c>
      <c r="AJ2" s="34">
        <f>SUM(AJ3:AJ24)</f>
      </c>
      <c r="AK2" s="34">
        <f>SUM(AK3:AK24)</f>
      </c>
      <c r="AL2" s="34">
        <f>SUM(AL3:AL24)</f>
      </c>
      <c r="AM2" s="34">
        <f>SUM(AM3:AM24)</f>
      </c>
      <c r="AN2" s="34">
        <f>SUM(AN3:AN24)</f>
      </c>
      <c r="AO2" s="34">
        <f>SUM(AO3:AO24)</f>
      </c>
      <c r="AP2" s="36" t="str">
        <v>冀北</v>
      </c>
      <c r="AQ2" s="36">
        <f>SUM(AQ3:AQ24)</f>
      </c>
      <c r="AR2" s="36">
        <f>SUM(AR3:AR24)</f>
      </c>
      <c r="AS2" s="36">
        <f>SUM(AS3:AS24)</f>
      </c>
      <c r="AT2" s="36">
        <f>SUM(AT3:AT24)</f>
      </c>
      <c r="AU2" s="36">
        <f>SUM(AU3:AU24)</f>
      </c>
      <c r="AV2" s="36">
        <f>SUM(AV3:AV24)</f>
      </c>
      <c r="AW2" s="36">
        <f>SUM(AW3:AW24)</f>
      </c>
      <c r="AX2" s="36">
        <f>SUM(AX3:AX24)</f>
      </c>
      <c r="AY2" s="36">
        <f>SUM(AY3:AY24)</f>
      </c>
      <c r="AZ2" s="36">
        <f>SUM(AZ3:AZ24)</f>
      </c>
      <c r="BA2" s="36">
        <f>SUM(BA3:BA24)</f>
      </c>
      <c r="BB2" s="36">
        <f>SUM(BB3:BB24)</f>
      </c>
      <c r="BC2" s="34" t="str">
        <v>山东</v>
      </c>
      <c r="BD2" s="34">
        <f>SUM(BD3:BD24)</f>
      </c>
      <c r="BE2" s="34">
        <f>SUM(BE3:BE24)</f>
      </c>
      <c r="BF2" s="34">
        <f>SUM(BF3:BF24)</f>
      </c>
      <c r="BG2" s="34">
        <f>SUM(BG3:BG24)</f>
      </c>
      <c r="BH2" s="34">
        <f>SUM(BH3:BH24)</f>
      </c>
      <c r="BI2" s="34">
        <f>SUM(BI3:BI24)</f>
      </c>
      <c r="BJ2" s="34">
        <f>SUM(BJ3:BJ24)</f>
      </c>
      <c r="BK2" s="34">
        <f>SUM(BK3:BK24)</f>
      </c>
      <c r="BL2" s="34">
        <f>SUM(BL3:BL24)</f>
      </c>
      <c r="BM2" s="34">
        <f>SUM(BM3:BM24)</f>
      </c>
      <c r="BN2" s="34">
        <f>SUM(BN3:BN24)</f>
      </c>
      <c r="BO2" s="34">
        <f>SUM(BO3:BO24)</f>
      </c>
      <c r="BP2" s="36" t="str">
        <v>山西</v>
      </c>
      <c r="BQ2" s="36">
        <f>SUM(BQ3:BQ24)</f>
      </c>
      <c r="BR2" s="36">
        <f>SUM(BR3:BR24)</f>
      </c>
      <c r="BS2" s="36">
        <f>SUM(BS3:BS24)</f>
      </c>
      <c r="BT2" s="36">
        <f>SUM(BT3:BT24)</f>
      </c>
      <c r="BU2" s="36">
        <f>SUM(BU3:BU24)</f>
      </c>
      <c r="BV2" s="36">
        <f>SUM(BV3:BV24)</f>
      </c>
      <c r="BW2" s="36">
        <f>SUM(BW3:BW24)</f>
      </c>
      <c r="BX2" s="36">
        <f>SUM(BX3:BX24)</f>
      </c>
      <c r="BY2" s="36">
        <f>SUM(BY3:BY24)</f>
      </c>
      <c r="BZ2" s="36">
        <f>SUM(BZ3:BZ24)</f>
      </c>
      <c r="CA2" s="36">
        <f>SUM(CA3:CA24)</f>
      </c>
      <c r="CB2" s="36">
        <f>SUM(CB3:CB24)</f>
      </c>
      <c r="CC2" s="34" t="str">
        <v>蒙西</v>
      </c>
      <c r="CD2" s="34">
        <f>SUM(CD3:CD24)</f>
      </c>
      <c r="CE2" s="34">
        <f>SUM(CE3:CE24)</f>
      </c>
      <c r="CF2" s="34">
        <f>SUM(CF3:CF24)</f>
      </c>
      <c r="CG2" s="34">
        <f>SUM(CG3:CG24)</f>
      </c>
      <c r="CH2" s="34">
        <f>SUM(CH3:CH24)</f>
      </c>
      <c r="CI2" s="34">
        <f>SUM(CI3:CI24)</f>
      </c>
      <c r="CJ2" s="34">
        <f>SUM(CJ3:CJ24)</f>
      </c>
      <c r="CK2" s="34">
        <f>SUM(CK3:CK24)</f>
      </c>
      <c r="CL2" s="34">
        <f>SUM(CL3:CL24)</f>
      </c>
      <c r="CM2" s="34">
        <f>SUM(CM3:CM24)</f>
      </c>
      <c r="CN2" s="34">
        <f>SUM(CN3:CN24)</f>
      </c>
      <c r="CO2" s="34">
        <f>SUM(CO3:CO24)</f>
      </c>
      <c r="CP2" s="36" t="str">
        <v>上海</v>
      </c>
      <c r="CQ2" s="36">
        <f>SUM(CQ3:CQ24)</f>
      </c>
      <c r="CR2" s="36">
        <f>SUM(CR3:CR24)</f>
      </c>
      <c r="CS2" s="36">
        <f>SUM(CS3:CS24)</f>
      </c>
      <c r="CT2" s="36">
        <f>SUM(CT3:CT24)</f>
      </c>
      <c r="CU2" s="36">
        <f>SUM(CU3:CU24)</f>
      </c>
      <c r="CV2" s="36">
        <f>SUM(CV3:CV24)</f>
      </c>
      <c r="CW2" s="36">
        <f>SUM(CW3:CW24)</f>
      </c>
      <c r="CX2" s="36">
        <f>SUM(CX3:CX24)</f>
      </c>
      <c r="CY2" s="36">
        <f>SUM(CY3:CY24)</f>
      </c>
      <c r="CZ2" s="36">
        <f>SUM(CZ3:CZ24)</f>
      </c>
      <c r="DA2" s="36">
        <f>SUM(DA3:DA24)</f>
      </c>
      <c r="DB2" s="36">
        <f>SUM(DB3:DB24)</f>
      </c>
      <c r="DC2" s="34" t="str">
        <v>江苏</v>
      </c>
      <c r="DD2" s="34">
        <f>SUM(DD3:DD24)</f>
      </c>
      <c r="DE2" s="34">
        <f>SUM(DE3:DE24)</f>
      </c>
      <c r="DF2" s="34">
        <f>SUM(DF3:DF24)</f>
      </c>
      <c r="DG2" s="34">
        <f>SUM(DG3:DG24)</f>
      </c>
      <c r="DH2" s="34">
        <f>SUM(DH3:DH24)</f>
      </c>
      <c r="DI2" s="34">
        <f>SUM(DI3:DI24)</f>
      </c>
      <c r="DJ2" s="34">
        <f>SUM(DJ3:DJ24)</f>
      </c>
      <c r="DK2" s="34">
        <f>SUM(DK3:DK24)</f>
      </c>
      <c r="DL2" s="34">
        <f>SUM(DL3:DL24)</f>
      </c>
      <c r="DM2" s="34">
        <f>SUM(DM3:DM24)</f>
      </c>
      <c r="DN2" s="34">
        <f>SUM(DN3:DN24)</f>
      </c>
      <c r="DO2" s="34">
        <f>SUM(DO3:DO24)</f>
      </c>
      <c r="DP2" s="36" t="str">
        <v>浙江</v>
      </c>
      <c r="DQ2" s="36">
        <f>SUM(DQ3:DQ24)</f>
      </c>
      <c r="DR2" s="36">
        <f>SUM(DR3:DR24)</f>
      </c>
      <c r="DS2" s="36">
        <f>SUM(DS3:DS24)</f>
      </c>
      <c r="DT2" s="36">
        <f>SUM(DT3:DT24)</f>
      </c>
      <c r="DU2" s="36">
        <f>SUM(DU3:DU24)</f>
      </c>
      <c r="DV2" s="36">
        <f>SUM(DV3:DV24)</f>
      </c>
      <c r="DW2" s="36">
        <f>SUM(DW3:DW24)</f>
      </c>
      <c r="DX2" s="36">
        <f>SUM(DX3:DX24)</f>
      </c>
      <c r="DY2" s="36">
        <f>SUM(DY3:DY24)</f>
      </c>
      <c r="DZ2" s="36">
        <f>SUM(DZ3:DZ24)</f>
      </c>
      <c r="EA2" s="36">
        <f>SUM(EA3:EA24)</f>
      </c>
      <c r="EB2" s="36">
        <f>SUM(EB3:EB24)</f>
      </c>
      <c r="EC2" s="34" t="str">
        <v>安徽</v>
      </c>
      <c r="ED2" s="34">
        <f>SUM(ED3:ED24)</f>
      </c>
      <c r="EE2" s="34">
        <f>SUM(EE3:EE24)</f>
      </c>
      <c r="EF2" s="34">
        <f>SUM(EF3:EF24)</f>
      </c>
      <c r="EG2" s="34">
        <f>SUM(EG3:EG24)</f>
      </c>
      <c r="EH2" s="34">
        <f>SUM(EH3:EH24)</f>
      </c>
      <c r="EI2" s="34">
        <f>SUM(EI3:EI24)</f>
      </c>
      <c r="EJ2" s="34">
        <f>SUM(EJ3:EJ24)</f>
      </c>
      <c r="EK2" s="34">
        <f>SUM(EK3:EK24)</f>
      </c>
      <c r="EL2" s="34">
        <f>SUM(EL3:EL24)</f>
      </c>
      <c r="EM2" s="34">
        <f>SUM(EM3:EM24)</f>
      </c>
      <c r="EN2" s="34">
        <f>SUM(EN3:EN24)</f>
      </c>
      <c r="EO2" s="34">
        <f>SUM(EO3:EO24)</f>
      </c>
      <c r="EP2" s="36" t="str">
        <v>福建</v>
      </c>
      <c r="EQ2" s="36">
        <f>SUM(EQ3:EQ24)</f>
      </c>
      <c r="ER2" s="36">
        <f>SUM(ER3:ER24)</f>
      </c>
      <c r="ES2" s="36">
        <f>SUM(ES3:ES24)</f>
      </c>
      <c r="ET2" s="36">
        <f>SUM(ET3:ET24)</f>
      </c>
      <c r="EU2" s="36">
        <f>SUM(EU3:EU24)</f>
      </c>
      <c r="EV2" s="36">
        <f>SUM(EV3:EV24)</f>
      </c>
      <c r="EW2" s="36">
        <f>SUM(EW3:EW24)</f>
      </c>
      <c r="EX2" s="36">
        <f>SUM(EX3:EX24)</f>
      </c>
      <c r="EY2" s="36">
        <f>SUM(EY3:EY24)</f>
      </c>
      <c r="EZ2" s="36">
        <f>SUM(EZ3:EZ24)</f>
      </c>
      <c r="FA2" s="36">
        <f>SUM(FA3:FA24)</f>
      </c>
      <c r="FB2" s="36">
        <f>SUM(FB3:FB24)</f>
      </c>
      <c r="FC2" s="34" t="str">
        <v>湖北</v>
      </c>
      <c r="FD2" s="34">
        <f>SUM(FD3:FD24)</f>
      </c>
      <c r="FE2" s="34">
        <f>SUM(FE3:FE24)</f>
      </c>
      <c r="FF2" s="34">
        <f>SUM(FF3:FF24)</f>
      </c>
      <c r="FG2" s="34">
        <f>SUM(FG3:FG24)</f>
      </c>
      <c r="FH2" s="34">
        <f>SUM(FH3:FH24)</f>
      </c>
      <c r="FI2" s="34">
        <f>SUM(FI3:FI24)</f>
      </c>
      <c r="FJ2" s="34">
        <f>SUM(FJ3:FJ24)</f>
      </c>
      <c r="FK2" s="34">
        <f>SUM(FK3:FK24)</f>
      </c>
      <c r="FL2" s="34">
        <f>SUM(FL3:FL24)</f>
      </c>
      <c r="FM2" s="34">
        <f>SUM(FM3:FM24)</f>
      </c>
      <c r="FN2" s="34">
        <f>SUM(FN3:FN24)</f>
      </c>
      <c r="FO2" s="34">
        <f>SUM(FO3:FO24)</f>
      </c>
      <c r="FP2" s="36" t="str">
        <v>河南</v>
      </c>
      <c r="FQ2" s="36">
        <f>SUM(FQ3:FQ24)</f>
      </c>
      <c r="FR2" s="36">
        <f>SUM(FR3:FR24)</f>
      </c>
      <c r="FS2" s="36">
        <f>SUM(FS3:FS24)</f>
      </c>
      <c r="FT2" s="36">
        <f>SUM(FT3:FT24)</f>
      </c>
      <c r="FU2" s="36">
        <f>SUM(FU3:FU24)</f>
      </c>
      <c r="FV2" s="36">
        <f>SUM(FV3:FV24)</f>
      </c>
      <c r="FW2" s="36">
        <f>SUM(FW3:FW24)</f>
      </c>
      <c r="FX2" s="36">
        <f>SUM(FX3:FX24)</f>
      </c>
      <c r="FY2" s="36">
        <f>SUM(FY3:FY24)</f>
      </c>
      <c r="FZ2" s="36">
        <f>SUM(FZ3:FZ24)</f>
      </c>
      <c r="GA2" s="36">
        <f>SUM(GA3:GA24)</f>
      </c>
      <c r="GB2" s="36">
        <f>SUM(GB3:GB24)</f>
      </c>
      <c r="GC2" s="34" t="str">
        <v>湖南</v>
      </c>
      <c r="GD2" s="34">
        <f>SUM(GD3:GD24)</f>
      </c>
      <c r="GE2" s="34">
        <f>SUM(GE3:GE24)</f>
      </c>
      <c r="GF2" s="34">
        <f>SUM(GF3:GF24)</f>
      </c>
      <c r="GG2" s="34">
        <f>SUM(GG3:GG24)</f>
      </c>
      <c r="GH2" s="34">
        <f>SUM(GH3:GH24)</f>
      </c>
      <c r="GI2" s="34">
        <f>SUM(GI3:GI24)</f>
      </c>
      <c r="GJ2" s="34">
        <f>SUM(GJ3:GJ24)</f>
      </c>
      <c r="GK2" s="34">
        <f>SUM(GK3:GK24)</f>
      </c>
      <c r="GL2" s="34">
        <f>SUM(GL3:GL24)</f>
      </c>
      <c r="GM2" s="34">
        <f>SUM(GM3:GM24)</f>
      </c>
      <c r="GN2" s="34">
        <f>SUM(GN3:GN24)</f>
      </c>
      <c r="GO2" s="34">
        <f>SUM(GO3:GO24)</f>
      </c>
      <c r="GP2" s="36" t="str">
        <v>江西</v>
      </c>
      <c r="GQ2" s="36">
        <f>SUM(GQ3:GQ24)</f>
      </c>
      <c r="GR2" s="36">
        <f>SUM(GR3:GR24)</f>
      </c>
      <c r="GS2" s="36">
        <f>SUM(GS3:GS24)</f>
      </c>
      <c r="GT2" s="36">
        <f>SUM(GT3:GT24)</f>
      </c>
      <c r="GU2" s="36">
        <f>SUM(GU3:GU24)</f>
      </c>
      <c r="GV2" s="36">
        <f>SUM(GV3:GV24)</f>
      </c>
      <c r="GW2" s="36">
        <f>SUM(GW3:GW24)</f>
      </c>
      <c r="GX2" s="36">
        <f>SUM(GX3:GX24)</f>
      </c>
      <c r="GY2" s="36">
        <f>SUM(GY3:GY24)</f>
      </c>
      <c r="GZ2" s="36">
        <f>SUM(GZ3:GZ24)</f>
      </c>
      <c r="HA2" s="36">
        <f>SUM(HA3:HA24)</f>
      </c>
      <c r="HB2" s="36">
        <f>SUM(HB3:HB24)</f>
      </c>
      <c r="HC2" s="34" t="str">
        <v>辽宁</v>
      </c>
      <c r="HD2" s="34">
        <f>SUM(HD3:HD24)</f>
      </c>
      <c r="HE2" s="34">
        <f>SUM(HE3:HE24)</f>
      </c>
      <c r="HF2" s="34">
        <f>SUM(HF3:HF24)</f>
      </c>
      <c r="HG2" s="34">
        <f>SUM(HG3:HG24)</f>
      </c>
      <c r="HH2" s="34">
        <f>SUM(HH3:HH24)</f>
      </c>
      <c r="HI2" s="34">
        <f>SUM(HI3:HI24)</f>
      </c>
      <c r="HJ2" s="34">
        <f>SUM(HJ3:HJ24)</f>
      </c>
      <c r="HK2" s="34">
        <f>SUM(HK3:HK24)</f>
      </c>
      <c r="HL2" s="34">
        <f>SUM(HL3:HL24)</f>
      </c>
      <c r="HM2" s="34">
        <f>SUM(HM3:HM24)</f>
      </c>
      <c r="HN2" s="34">
        <f>SUM(HN3:HN24)</f>
      </c>
      <c r="HO2" s="34">
        <f>SUM(HO3:HO24)</f>
      </c>
      <c r="HP2" s="36" t="str">
        <v>吉林</v>
      </c>
      <c r="HQ2" s="36">
        <f>SUM(HQ3:HQ24)</f>
      </c>
      <c r="HR2" s="36">
        <f>SUM(HR3:HR24)</f>
      </c>
      <c r="HS2" s="36">
        <f>SUM(HS3:HS24)</f>
      </c>
      <c r="HT2" s="36">
        <f>SUM(HT3:HT24)</f>
      </c>
      <c r="HU2" s="36">
        <f>SUM(HU3:HU24)</f>
      </c>
      <c r="HV2" s="36">
        <f>SUM(HV3:HV24)</f>
      </c>
      <c r="HW2" s="36">
        <f>SUM(HW3:HW24)</f>
      </c>
      <c r="HX2" s="36">
        <f>SUM(HX3:HX24)</f>
      </c>
      <c r="HY2" s="36">
        <f>SUM(HY3:HY24)</f>
      </c>
      <c r="HZ2" s="36">
        <f>SUM(HZ3:HZ24)</f>
      </c>
      <c r="IA2" s="36">
        <f>SUM(IA3:IA24)</f>
      </c>
      <c r="IB2" s="36">
        <f>SUM(IB3:IB24)</f>
      </c>
      <c r="IC2" s="34" t="str">
        <v>黑龙江</v>
      </c>
      <c r="ID2" s="34">
        <f>SUM(ID3:ID24)</f>
      </c>
      <c r="IE2" s="34">
        <f>SUM(IE3:IE24)</f>
      </c>
      <c r="IF2" s="34">
        <f>SUM(IF3:IF24)</f>
      </c>
      <c r="IG2" s="34">
        <f>SUM(IG3:IG24)</f>
      </c>
      <c r="IH2" s="34">
        <f>SUM(IH3:IH24)</f>
      </c>
      <c r="II2" s="34">
        <f>SUM(II3:II24)</f>
      </c>
      <c r="IJ2" s="34">
        <f>SUM(IJ3:IJ24)</f>
      </c>
      <c r="IK2" s="34">
        <f>SUM(IK3:IK24)</f>
      </c>
      <c r="IL2" s="34">
        <f>SUM(IL3:IL24)</f>
      </c>
      <c r="IM2" s="34">
        <f>SUM(IM3:IM24)</f>
      </c>
      <c r="IN2" s="34">
        <f>SUM(IN3:IN24)</f>
      </c>
      <c r="IO2" s="34">
        <f>SUM(IO3:IO24)</f>
      </c>
      <c r="IP2" s="36" t="str">
        <v>蒙东</v>
      </c>
      <c r="IQ2" s="36">
        <f>SUM(IQ3:IQ24)</f>
      </c>
      <c r="IR2" s="36">
        <f>SUM(IR3:IR24)</f>
      </c>
      <c r="IS2" s="36">
        <f>SUM(IS3:IS24)</f>
      </c>
      <c r="IT2" s="36">
        <f>SUM(IT3:IT24)</f>
      </c>
      <c r="IU2" s="36">
        <f>SUM(IU3:IU24)</f>
      </c>
      <c r="IV2" s="36">
        <f>SUM(IV3:IV24)</f>
      </c>
      <c r="IW2" s="36">
        <f>SUM(IW3:IW24)</f>
      </c>
      <c r="IX2" s="36">
        <f>SUM(IX3:IX24)</f>
      </c>
      <c r="IY2" s="36">
        <f>SUM(IY3:IY24)</f>
      </c>
      <c r="IZ2" s="36">
        <f>SUM(IZ3:IZ24)</f>
      </c>
      <c r="JA2" s="36">
        <f>SUM(JA3:JA24)</f>
      </c>
      <c r="JB2" s="36">
        <f>SUM(JB3:JB24)</f>
      </c>
      <c r="JC2" s="34" t="str">
        <v>陕西</v>
      </c>
      <c r="JD2" s="34">
        <f>SUM(JD3:JD24)</f>
      </c>
      <c r="JE2" s="34">
        <f>SUM(JE3:JE24)</f>
      </c>
      <c r="JF2" s="34">
        <f>SUM(JF3:JF24)</f>
      </c>
      <c r="JG2" s="34">
        <f>SUM(JG3:JG24)</f>
      </c>
      <c r="JH2" s="34">
        <f>SUM(JH3:JH24)</f>
      </c>
      <c r="JI2" s="34">
        <f>SUM(JI3:JI24)</f>
      </c>
      <c r="JJ2" s="34">
        <f>SUM(JJ3:JJ24)</f>
      </c>
      <c r="JK2" s="34">
        <f>SUM(JK3:JK24)</f>
      </c>
      <c r="JL2" s="34">
        <f>SUM(JL3:JL24)</f>
      </c>
      <c r="JM2" s="34">
        <f>SUM(JM3:JM24)</f>
      </c>
      <c r="JN2" s="34">
        <f>SUM(JN3:JN24)</f>
      </c>
      <c r="JO2" s="34">
        <f>SUM(JO3:JO24)</f>
      </c>
      <c r="JP2" s="36" t="str">
        <v>甘肃</v>
      </c>
      <c r="JQ2" s="36">
        <f>SUM(JQ3:JQ24)</f>
      </c>
      <c r="JR2" s="36">
        <f>SUM(JR3:JR24)</f>
      </c>
      <c r="JS2" s="36">
        <f>SUM(JS3:JS24)</f>
      </c>
      <c r="JT2" s="36">
        <f>SUM(JT3:JT24)</f>
      </c>
      <c r="JU2" s="36">
        <f>SUM(JU3:JU24)</f>
      </c>
      <c r="JV2" s="36">
        <f>SUM(JV3:JV24)</f>
      </c>
      <c r="JW2" s="36">
        <f>SUM(JW3:JW24)</f>
      </c>
      <c r="JX2" s="36">
        <f>SUM(JX3:JX24)</f>
      </c>
      <c r="JY2" s="36">
        <f>SUM(JY3:JY24)</f>
      </c>
      <c r="JZ2" s="36">
        <f>SUM(JZ3:JZ24)</f>
      </c>
      <c r="KA2" s="36">
        <f>SUM(KA3:KA24)</f>
      </c>
      <c r="KB2" s="36">
        <f>SUM(KB3:KB24)</f>
      </c>
      <c r="KC2" s="34" t="str">
        <v>青海</v>
      </c>
      <c r="KD2" s="34">
        <f>SUM(KD3:KD24)</f>
      </c>
      <c r="KE2" s="34">
        <f>SUM(KE3:KE24)</f>
      </c>
      <c r="KF2" s="34">
        <f>SUM(KF3:KF24)</f>
      </c>
      <c r="KG2" s="34">
        <f>SUM(KG3:KG24)</f>
      </c>
      <c r="KH2" s="34">
        <f>SUM(KH3:KH24)</f>
      </c>
      <c r="KI2" s="34">
        <f>SUM(KI3:KI24)</f>
      </c>
      <c r="KJ2" s="34">
        <f>SUM(KJ3:KJ24)</f>
      </c>
      <c r="KK2" s="34">
        <f>SUM(KK3:KK24)</f>
      </c>
      <c r="KL2" s="34">
        <f>SUM(KL3:KL24)</f>
      </c>
      <c r="KM2" s="34">
        <f>SUM(KM3:KM24)</f>
      </c>
      <c r="KN2" s="34">
        <f>SUM(KN3:KN24)</f>
      </c>
      <c r="KO2" s="34">
        <f>SUM(KO3:KO24)</f>
      </c>
      <c r="KP2" s="36" t="str">
        <v>宁夏</v>
      </c>
      <c r="KQ2" s="36">
        <f>SUM(KQ3:KQ24)</f>
      </c>
      <c r="KR2" s="36">
        <f>SUM(KR3:KR24)</f>
      </c>
      <c r="KS2" s="36">
        <f>SUM(KS3:KS24)</f>
      </c>
      <c r="KT2" s="36">
        <f>SUM(KT3:KT24)</f>
      </c>
      <c r="KU2" s="36">
        <f>SUM(KU3:KU24)</f>
      </c>
      <c r="KV2" s="36">
        <f>SUM(KV3:KV24)</f>
      </c>
      <c r="KW2" s="36">
        <f>SUM(KW3:KW24)</f>
      </c>
      <c r="KX2" s="36">
        <f>SUM(KX3:KX24)</f>
      </c>
      <c r="KY2" s="36">
        <f>SUM(KY3:KY24)</f>
      </c>
      <c r="KZ2" s="36">
        <f>SUM(KZ3:KZ24)</f>
      </c>
      <c r="LA2" s="36">
        <f>SUM(LA3:LA24)</f>
      </c>
      <c r="LB2" s="36">
        <f>SUM(LB3:LB24)</f>
      </c>
      <c r="LC2" s="34" t="str">
        <v>新疆</v>
      </c>
      <c r="LD2" s="34">
        <f>SUM(LD3:LD24)</f>
      </c>
      <c r="LE2" s="34">
        <f>SUM(LE3:LE24)</f>
      </c>
      <c r="LF2" s="34">
        <f>SUM(LF3:LF24)</f>
      </c>
      <c r="LG2" s="34">
        <f>SUM(LG3:LG24)</f>
      </c>
      <c r="LH2" s="34">
        <f>SUM(LH3:LH24)</f>
      </c>
      <c r="LI2" s="34">
        <f>SUM(LI3:LI24)</f>
      </c>
      <c r="LJ2" s="34">
        <f>SUM(LJ3:LJ24)</f>
      </c>
      <c r="LK2" s="34">
        <f>SUM(LK3:LK24)</f>
      </c>
      <c r="LL2" s="34">
        <f>SUM(LL3:LL24)</f>
      </c>
      <c r="LM2" s="34">
        <f>SUM(LM3:LM24)</f>
      </c>
      <c r="LN2" s="34">
        <f>SUM(LN3:LN24)</f>
      </c>
      <c r="LO2" s="34">
        <f>SUM(LO3:LO24)</f>
      </c>
      <c r="LP2" s="36" t="str">
        <v>重庆</v>
      </c>
      <c r="LQ2" s="36">
        <f>SUM(LQ3:LQ24)</f>
      </c>
      <c r="LR2" s="36">
        <f>SUM(LR3:LR24)</f>
      </c>
      <c r="LS2" s="36">
        <f>SUM(LS3:LS24)</f>
      </c>
      <c r="LT2" s="36">
        <f>SUM(LT3:LT24)</f>
      </c>
      <c r="LU2" s="36">
        <f>SUM(LU3:LU24)</f>
      </c>
      <c r="LV2" s="36">
        <f>SUM(LV3:LV24)</f>
      </c>
      <c r="LW2" s="36">
        <f>SUM(LW3:LW24)</f>
      </c>
      <c r="LX2" s="36">
        <f>SUM(LX3:LX24)</f>
      </c>
      <c r="LY2" s="36">
        <f>SUM(LY3:LY24)</f>
      </c>
      <c r="LZ2" s="36">
        <f>SUM(LZ3:LZ24)</f>
      </c>
      <c r="MA2" s="36">
        <f>SUM(MA3:MA24)</f>
      </c>
      <c r="MB2" s="36">
        <f>SUM(MB3:MB24)</f>
      </c>
      <c r="MC2" s="34" t="str">
        <v>四川</v>
      </c>
      <c r="MD2" s="34">
        <f>SUM(MD3:MD24)</f>
      </c>
      <c r="ME2" s="34">
        <f>SUM(ME3:ME24)</f>
      </c>
      <c r="MF2" s="34">
        <f>SUM(MF3:MF24)</f>
      </c>
      <c r="MG2" s="34">
        <f>SUM(MG3:MG24)</f>
      </c>
      <c r="MH2" s="34">
        <f>SUM(MH3:MH24)</f>
      </c>
      <c r="MI2" s="34">
        <f>SUM(MI3:MI24)</f>
      </c>
      <c r="MJ2" s="34">
        <f>SUM(MJ3:MJ24)</f>
      </c>
      <c r="MK2" s="34">
        <f>SUM(MK3:MK24)</f>
      </c>
      <c r="ML2" s="34">
        <f>SUM(ML3:ML24)</f>
      </c>
      <c r="MM2" s="34">
        <f>SUM(MM3:MM24)</f>
      </c>
      <c r="MN2" s="34">
        <f>SUM(MN3:MN24)</f>
      </c>
      <c r="MO2" s="34">
        <f>SUM(MO3:MO24)</f>
      </c>
      <c r="MP2" s="36" t="str">
        <v>广东</v>
      </c>
      <c r="MQ2" s="36">
        <f>SUM(MQ3:MQ24)</f>
      </c>
      <c r="MR2" s="36">
        <f>SUM(MR3:MR24)</f>
      </c>
      <c r="MS2" s="36">
        <f>SUM(MS3:MS24)</f>
      </c>
      <c r="MT2" s="36">
        <f>SUM(MT3:MT24)</f>
      </c>
      <c r="MU2" s="36">
        <f>SUM(MU3:MU24)</f>
      </c>
      <c r="MV2" s="36">
        <f>SUM(MV3:MV24)</f>
      </c>
      <c r="MW2" s="36">
        <f>SUM(MW3:MW24)</f>
      </c>
      <c r="MX2" s="36">
        <f>SUM(MX3:MX24)</f>
      </c>
      <c r="MY2" s="36">
        <f>SUM(MY3:MY24)</f>
      </c>
      <c r="MZ2" s="36">
        <f>SUM(MZ3:MZ24)</f>
      </c>
      <c r="NA2" s="36">
        <f>SUM(NA3:NA24)</f>
      </c>
      <c r="NB2" s="36">
        <f>SUM(NB3:NB24)</f>
      </c>
      <c r="NC2" s="34" t="str">
        <v>广西</v>
      </c>
      <c r="ND2" s="34">
        <f>SUM(ND3:ND24)</f>
      </c>
      <c r="NE2" s="34">
        <f>SUM(NE3:NE24)</f>
      </c>
      <c r="NF2" s="34">
        <f>SUM(NF3:NF24)</f>
      </c>
      <c r="NG2" s="34">
        <f>SUM(NG3:NG24)</f>
      </c>
      <c r="NH2" s="34">
        <f>SUM(NH3:NH24)</f>
      </c>
      <c r="NI2" s="34">
        <f>SUM(NI3:NI24)</f>
      </c>
      <c r="NJ2" s="34">
        <f>SUM(NJ3:NJ24)</f>
      </c>
      <c r="NK2" s="34">
        <f>SUM(NK3:NK24)</f>
      </c>
      <c r="NL2" s="34">
        <f>SUM(NL3:NL24)</f>
      </c>
      <c r="NM2" s="34">
        <f>SUM(NM3:NM24)</f>
      </c>
      <c r="NN2" s="34">
        <f>SUM(NN3:NN24)</f>
      </c>
      <c r="NO2" s="34">
        <f>SUM(NO3:NO24)</f>
      </c>
      <c r="NP2" s="36" t="str">
        <v>云南</v>
      </c>
      <c r="NQ2" s="36">
        <f>SUM(NQ3:NQ24)</f>
      </c>
      <c r="NR2" s="36">
        <f>SUM(NR3:NR24)</f>
      </c>
      <c r="NS2" s="36">
        <f>SUM(NS3:NS24)</f>
      </c>
      <c r="NT2" s="36">
        <f>SUM(NT3:NT24)</f>
      </c>
      <c r="NU2" s="36">
        <f>SUM(NU3:NU24)</f>
      </c>
      <c r="NV2" s="36">
        <f>SUM(NV3:NV24)</f>
      </c>
      <c r="NW2" s="36">
        <f>SUM(NW3:NW24)</f>
      </c>
      <c r="NX2" s="36">
        <f>SUM(NX3:NX24)</f>
      </c>
      <c r="NY2" s="36">
        <f>SUM(NY3:NY24)</f>
      </c>
      <c r="NZ2" s="36">
        <f>SUM(NZ3:NZ24)</f>
      </c>
      <c r="OA2" s="36">
        <f>SUM(OA3:OA24)</f>
      </c>
      <c r="OB2" s="36">
        <f>SUM(OB3:OB24)</f>
      </c>
      <c r="OC2" s="34" t="str">
        <v>贵州</v>
      </c>
      <c r="OD2" s="34">
        <f>SUM(OD3:OD24)</f>
      </c>
      <c r="OE2" s="34">
        <f>SUM(OE3:OE24)</f>
      </c>
      <c r="OF2" s="34">
        <f>SUM(OF3:OF24)</f>
      </c>
      <c r="OG2" s="34">
        <f>SUM(OG3:OG24)</f>
      </c>
      <c r="OH2" s="34">
        <f>SUM(OH3:OH24)</f>
      </c>
      <c r="OI2" s="34">
        <f>SUM(OI3:OI24)</f>
      </c>
      <c r="OJ2" s="34">
        <f>SUM(OJ3:OJ24)</f>
      </c>
      <c r="OK2" s="34">
        <f>SUM(OK3:OK24)</f>
      </c>
      <c r="OL2" s="34">
        <f>SUM(OL3:OL24)</f>
      </c>
      <c r="OM2" s="34">
        <f>SUM(OM3:OM24)</f>
      </c>
      <c r="ON2" s="34">
        <f>SUM(ON3:ON24)</f>
      </c>
      <c r="OO2" s="34">
        <f>SUM(OO3:OO24)</f>
      </c>
      <c r="OP2" s="36" t="str">
        <v>海南</v>
      </c>
      <c r="OQ2" s="36">
        <v>-0.004545</v>
      </c>
      <c r="OR2" s="36">
        <v>0.137592</v>
      </c>
      <c r="OS2" s="36">
        <v>0.158319</v>
      </c>
      <c r="OT2" s="36">
        <f>SUM(OT3:OT24)</f>
      </c>
      <c r="OU2" s="36">
        <f>SUM(OU3:OU24)</f>
      </c>
      <c r="OV2" s="36">
        <f>SUM(OV3:OV24)</f>
      </c>
      <c r="OW2" s="36">
        <f>SUM(OW3:OW24)</f>
      </c>
      <c r="OX2" s="36">
        <f>SUM(OX3:OX24)</f>
      </c>
      <c r="OY2" s="36">
        <f>SUM(OY3:OY24)</f>
      </c>
      <c r="OZ2" s="36">
        <f>SUM(OZ3:OZ24)</f>
      </c>
      <c r="PA2" s="36">
        <f>SUM(PA3:PA24)</f>
      </c>
      <c r="PB2" s="36">
        <f>SUM(PB3:PB24)</f>
      </c>
    </row>
    <row customHeight="true" ht="19" r="3">
      <c r="A3" s="34">
        <v>2</v>
      </c>
      <c r="B3" s="39" t="str">
        <v>（1）辅助服务费用折合度电水平</v>
      </c>
      <c r="C3" s="34" t="str">
        <v>北京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/>
      <c r="J3" s="34"/>
      <c r="K3" s="34"/>
      <c r="L3" s="34"/>
      <c r="M3" s="34"/>
      <c r="N3" s="34"/>
      <c r="O3" s="34"/>
      <c r="P3" s="36" t="str">
        <v>天津</v>
      </c>
      <c r="Q3" s="36">
        <v>0</v>
      </c>
      <c r="R3" s="36">
        <v>0</v>
      </c>
      <c r="S3" s="36">
        <v>0</v>
      </c>
      <c r="T3" s="36">
        <v>0</v>
      </c>
      <c r="U3" s="36">
        <v>0</v>
      </c>
      <c r="V3" s="36"/>
      <c r="W3" s="36"/>
      <c r="X3" s="36"/>
      <c r="Y3" s="36"/>
      <c r="Z3" s="36"/>
      <c r="AA3" s="36"/>
      <c r="AB3" s="36"/>
      <c r="AC3" s="34" t="str">
        <v>河北南网</v>
      </c>
      <c r="AD3" s="34">
        <v>0</v>
      </c>
      <c r="AE3" s="34">
        <v>0</v>
      </c>
      <c r="AF3" s="34">
        <v>0.000268</v>
      </c>
      <c r="AG3" s="34">
        <v>0.000234</v>
      </c>
      <c r="AH3" s="34">
        <v>0.000129</v>
      </c>
      <c r="AI3" s="34"/>
      <c r="AJ3" s="34"/>
      <c r="AK3" s="34"/>
      <c r="AL3" s="34"/>
      <c r="AM3" s="34"/>
      <c r="AN3" s="34"/>
      <c r="AO3" s="34"/>
      <c r="AP3" s="36" t="str">
        <v>冀北</v>
      </c>
      <c r="AQ3" s="36">
        <v>0</v>
      </c>
      <c r="AR3" s="36">
        <v>0</v>
      </c>
      <c r="AS3" s="36">
        <v>0</v>
      </c>
      <c r="AT3" s="36">
        <v>0</v>
      </c>
      <c r="AU3" s="36">
        <v>0</v>
      </c>
      <c r="AV3" s="36"/>
      <c r="AW3" s="36"/>
      <c r="AX3" s="36"/>
      <c r="AY3" s="36"/>
      <c r="AZ3" s="36"/>
      <c r="BA3" s="36"/>
      <c r="BB3" s="36"/>
      <c r="BC3" s="34" t="str">
        <v>山东</v>
      </c>
      <c r="BD3" s="34">
        <v>0</v>
      </c>
      <c r="BE3" s="34">
        <v>0</v>
      </c>
      <c r="BF3" s="34">
        <v>0</v>
      </c>
      <c r="BG3" s="34">
        <v>0</v>
      </c>
      <c r="BH3" s="34">
        <v>0</v>
      </c>
      <c r="BI3" s="34"/>
      <c r="BJ3" s="34"/>
      <c r="BK3" s="34"/>
      <c r="BL3" s="34"/>
      <c r="BM3" s="34"/>
      <c r="BN3" s="34"/>
      <c r="BO3" s="34"/>
      <c r="BP3" s="36" t="str">
        <v>山西</v>
      </c>
      <c r="BQ3" s="36">
        <v>0.003301</v>
      </c>
      <c r="BR3" s="36">
        <v>0.003978</v>
      </c>
      <c r="BS3" s="36">
        <v>0.003473</v>
      </c>
      <c r="BT3" s="36">
        <v>0.003409</v>
      </c>
      <c r="BU3" s="36">
        <v>0.003521</v>
      </c>
      <c r="BV3" s="36"/>
      <c r="BW3" s="36"/>
      <c r="BX3" s="36"/>
      <c r="BY3" s="36"/>
      <c r="BZ3" s="36"/>
      <c r="CA3" s="36"/>
      <c r="CB3" s="36"/>
      <c r="CC3" s="34" t="str">
        <v>蒙西</v>
      </c>
      <c r="CD3" s="34">
        <v>0.0008</v>
      </c>
      <c r="CE3" s="34">
        <v>0.0008</v>
      </c>
      <c r="CF3" s="34">
        <v>0.0004</v>
      </c>
      <c r="CG3" s="34">
        <v>0.0002</v>
      </c>
      <c r="CH3" s="34">
        <v>0.0017</v>
      </c>
      <c r="CI3" s="34"/>
      <c r="CJ3" s="34"/>
      <c r="CK3" s="34"/>
      <c r="CL3" s="34"/>
      <c r="CM3" s="34"/>
      <c r="CN3" s="34"/>
      <c r="CO3" s="34"/>
      <c r="CP3" s="36" t="str">
        <v>上海</v>
      </c>
      <c r="CQ3" s="36">
        <v>0</v>
      </c>
      <c r="CR3" s="36">
        <v>0</v>
      </c>
      <c r="CS3" s="36">
        <v>0</v>
      </c>
      <c r="CT3" s="36">
        <v>0</v>
      </c>
      <c r="CU3" s="36">
        <v>0</v>
      </c>
      <c r="CV3" s="36"/>
      <c r="CW3" s="36"/>
      <c r="CX3" s="36"/>
      <c r="CY3" s="36"/>
      <c r="CZ3" s="36"/>
      <c r="DA3" s="36"/>
      <c r="DB3" s="36"/>
      <c r="DC3" s="34" t="str">
        <v>江苏</v>
      </c>
      <c r="DD3" s="34">
        <v>0</v>
      </c>
      <c r="DE3" s="34">
        <v>0</v>
      </c>
      <c r="DF3" s="34">
        <v>0</v>
      </c>
      <c r="DG3" s="34">
        <v>0</v>
      </c>
      <c r="DH3" s="34">
        <v>0</v>
      </c>
      <c r="DI3" s="34"/>
      <c r="DJ3" s="34"/>
      <c r="DK3" s="34"/>
      <c r="DL3" s="34"/>
      <c r="DM3" s="34"/>
      <c r="DN3" s="34"/>
      <c r="DO3" s="34"/>
      <c r="DP3" s="36" t="str">
        <v>浙江</v>
      </c>
      <c r="DQ3" s="36">
        <v>0</v>
      </c>
      <c r="DR3" s="36">
        <v>0</v>
      </c>
      <c r="DS3" s="36">
        <v>0</v>
      </c>
      <c r="DT3" s="36">
        <v>0</v>
      </c>
      <c r="DU3" s="36">
        <v>0</v>
      </c>
      <c r="DV3" s="36"/>
      <c r="DW3" s="36"/>
      <c r="DX3" s="36"/>
      <c r="DY3" s="36"/>
      <c r="DZ3" s="36"/>
      <c r="EA3" s="36"/>
      <c r="EB3" s="36"/>
      <c r="EC3" s="34" t="str">
        <v>安徽</v>
      </c>
      <c r="ED3" s="34">
        <v>0</v>
      </c>
      <c r="EE3" s="34">
        <v>0</v>
      </c>
      <c r="EF3" s="34">
        <v>0</v>
      </c>
      <c r="EG3" s="34">
        <v>0</v>
      </c>
      <c r="EH3" s="34">
        <v>0</v>
      </c>
      <c r="EI3" s="34"/>
      <c r="EJ3" s="34"/>
      <c r="EK3" s="34"/>
      <c r="EL3" s="34"/>
      <c r="EM3" s="34"/>
      <c r="EN3" s="34"/>
      <c r="EO3" s="34"/>
      <c r="EP3" s="36" t="str">
        <v>福建</v>
      </c>
      <c r="EQ3" s="36">
        <v>0</v>
      </c>
      <c r="ER3" s="36">
        <v>0</v>
      </c>
      <c r="ES3" s="36">
        <v>0</v>
      </c>
      <c r="ET3" s="36">
        <v>0</v>
      </c>
      <c r="EU3" s="36">
        <v>0</v>
      </c>
      <c r="EV3" s="36"/>
      <c r="EW3" s="36"/>
      <c r="EX3" s="36"/>
      <c r="EY3" s="36"/>
      <c r="EZ3" s="36"/>
      <c r="FA3" s="36"/>
      <c r="FB3" s="36"/>
      <c r="FC3" s="34" t="str">
        <v>湖北</v>
      </c>
      <c r="FD3" s="34">
        <v>0</v>
      </c>
      <c r="FE3" s="34">
        <v>0</v>
      </c>
      <c r="FF3" s="34">
        <v>0</v>
      </c>
      <c r="FG3" s="34">
        <v>0.001138</v>
      </c>
      <c r="FH3" s="34">
        <v>0.00216</v>
      </c>
      <c r="FI3" s="34"/>
      <c r="FJ3" s="34"/>
      <c r="FK3" s="34"/>
      <c r="FL3" s="34"/>
      <c r="FM3" s="34"/>
      <c r="FN3" s="34"/>
      <c r="FO3" s="34"/>
      <c r="FP3" s="36" t="str">
        <v>河南</v>
      </c>
      <c r="FQ3" s="36">
        <v>0</v>
      </c>
      <c r="FR3" s="36">
        <v>0</v>
      </c>
      <c r="FS3" s="36">
        <v>0</v>
      </c>
      <c r="FT3" s="36">
        <v>0</v>
      </c>
      <c r="FU3" s="36">
        <v>0</v>
      </c>
      <c r="FV3" s="36"/>
      <c r="FW3" s="36"/>
      <c r="FX3" s="36"/>
      <c r="FY3" s="36"/>
      <c r="FZ3" s="36"/>
      <c r="GA3" s="36"/>
      <c r="GB3" s="36"/>
      <c r="GC3" s="34" t="str">
        <v>湖南</v>
      </c>
      <c r="GD3" s="34">
        <v>0</v>
      </c>
      <c r="GE3" s="34">
        <v>0</v>
      </c>
      <c r="GF3" s="34">
        <v>0</v>
      </c>
      <c r="GG3" s="34">
        <v>0</v>
      </c>
      <c r="GH3" s="34">
        <v>0</v>
      </c>
      <c r="GI3" s="34"/>
      <c r="GJ3" s="34"/>
      <c r="GK3" s="34"/>
      <c r="GL3" s="34"/>
      <c r="GM3" s="34"/>
      <c r="GN3" s="34"/>
      <c r="GO3" s="34"/>
      <c r="GP3" s="36" t="str">
        <v>江西</v>
      </c>
      <c r="GQ3" s="36">
        <v>0</v>
      </c>
      <c r="GR3" s="36">
        <v>0</v>
      </c>
      <c r="GS3" s="36">
        <v>0</v>
      </c>
      <c r="GT3" s="36">
        <v>0</v>
      </c>
      <c r="GU3" s="36">
        <v>0</v>
      </c>
      <c r="GV3" s="36"/>
      <c r="GW3" s="36"/>
      <c r="GX3" s="36"/>
      <c r="GY3" s="36"/>
      <c r="GZ3" s="36"/>
      <c r="HA3" s="36"/>
      <c r="HB3" s="36"/>
      <c r="HC3" s="34" t="str">
        <v>辽宁</v>
      </c>
      <c r="HD3" s="34">
        <v>0</v>
      </c>
      <c r="HE3" s="34">
        <v>0</v>
      </c>
      <c r="HF3" s="34">
        <v>0.000837</v>
      </c>
      <c r="HG3" s="34">
        <v>0.000687</v>
      </c>
      <c r="HH3" s="34">
        <v>0.00085</v>
      </c>
      <c r="HI3" s="34"/>
      <c r="HJ3" s="34"/>
      <c r="HK3" s="34"/>
      <c r="HL3" s="34"/>
      <c r="HM3" s="34"/>
      <c r="HN3" s="34"/>
      <c r="HO3" s="34"/>
      <c r="HP3" s="36" t="str">
        <v>吉林</v>
      </c>
      <c r="HQ3" s="36">
        <v>0.003522</v>
      </c>
      <c r="HR3" s="36">
        <v>0.002456</v>
      </c>
      <c r="HS3" s="36">
        <v>0.005913</v>
      </c>
      <c r="HT3" s="36">
        <v>-0.001415</v>
      </c>
      <c r="HU3" s="36">
        <v>-0.000551</v>
      </c>
      <c r="HV3" s="36"/>
      <c r="HW3" s="36"/>
      <c r="HX3" s="36"/>
      <c r="HY3" s="36"/>
      <c r="HZ3" s="36"/>
      <c r="IA3" s="36"/>
      <c r="IB3" s="36"/>
      <c r="IC3" s="34" t="str">
        <v>黑龙江</v>
      </c>
      <c r="ID3" s="34">
        <v>0</v>
      </c>
      <c r="IE3" s="34">
        <v>0</v>
      </c>
      <c r="IF3" s="34">
        <v>0</v>
      </c>
      <c r="IG3" s="34">
        <v>0</v>
      </c>
      <c r="IH3" s="34">
        <v>0</v>
      </c>
      <c r="II3" s="34"/>
      <c r="IJ3" s="34"/>
      <c r="IK3" s="34"/>
      <c r="IL3" s="34"/>
      <c r="IM3" s="34"/>
      <c r="IN3" s="34"/>
      <c r="IO3" s="34"/>
      <c r="IP3" s="36" t="str">
        <v>蒙东</v>
      </c>
      <c r="IQ3" s="36">
        <v>0</v>
      </c>
      <c r="IR3" s="36">
        <v>0</v>
      </c>
      <c r="IS3" s="36">
        <v>0</v>
      </c>
      <c r="IT3" s="36">
        <v>0</v>
      </c>
      <c r="IU3" s="36">
        <v>0</v>
      </c>
      <c r="IV3" s="36"/>
      <c r="IW3" s="36"/>
      <c r="IX3" s="36"/>
      <c r="IY3" s="36"/>
      <c r="IZ3" s="36"/>
      <c r="JA3" s="36"/>
      <c r="JB3" s="36"/>
      <c r="JC3" s="34" t="str">
        <v>陕西</v>
      </c>
      <c r="JD3" s="34">
        <v>0.0025</v>
      </c>
      <c r="JE3" s="34">
        <v>0.0039</v>
      </c>
      <c r="JF3" s="34">
        <v>0.004</v>
      </c>
      <c r="JG3" s="34">
        <v>0.0031</v>
      </c>
      <c r="JH3" s="34">
        <v>0.0036</v>
      </c>
      <c r="JI3" s="34"/>
      <c r="JJ3" s="34"/>
      <c r="JK3" s="34"/>
      <c r="JL3" s="34"/>
      <c r="JM3" s="34"/>
      <c r="JN3" s="34"/>
      <c r="JO3" s="34"/>
      <c r="JP3" s="36" t="str">
        <v>甘肃</v>
      </c>
      <c r="JQ3" s="36">
        <v>0.014437</v>
      </c>
      <c r="JR3" s="36">
        <v>0.017761</v>
      </c>
      <c r="JS3" s="36">
        <v>0.005119</v>
      </c>
      <c r="JT3" s="36">
        <v>0.004951</v>
      </c>
      <c r="JU3" s="36">
        <v>0.007169</v>
      </c>
      <c r="JV3" s="36"/>
      <c r="JW3" s="36"/>
      <c r="JX3" s="36"/>
      <c r="JY3" s="36"/>
      <c r="JZ3" s="36"/>
      <c r="KA3" s="36"/>
      <c r="KB3" s="36"/>
      <c r="KC3" s="34" t="str">
        <v>青海</v>
      </c>
      <c r="KD3" s="34"/>
      <c r="KE3" s="34"/>
      <c r="KF3" s="34"/>
      <c r="KG3" s="34"/>
      <c r="KH3" s="34"/>
      <c r="KI3" s="34"/>
      <c r="KJ3" s="34"/>
      <c r="KK3" s="34"/>
      <c r="KL3" s="34"/>
      <c r="KM3" s="34"/>
      <c r="KN3" s="34"/>
      <c r="KO3" s="34"/>
      <c r="KP3" s="36" t="str">
        <v>宁夏</v>
      </c>
      <c r="KQ3" s="36">
        <v>0</v>
      </c>
      <c r="KR3" s="36">
        <v>0</v>
      </c>
      <c r="KS3" s="36">
        <v>0</v>
      </c>
      <c r="KT3" s="36">
        <v>0</v>
      </c>
      <c r="KU3" s="36">
        <v>0</v>
      </c>
      <c r="KV3" s="36"/>
      <c r="KW3" s="36"/>
      <c r="KX3" s="36"/>
      <c r="KY3" s="36"/>
      <c r="KZ3" s="36"/>
      <c r="LA3" s="36"/>
      <c r="LB3" s="36"/>
      <c r="LC3" s="34" t="str">
        <v>新疆</v>
      </c>
      <c r="LD3" s="34">
        <v>0.005025</v>
      </c>
      <c r="LE3" s="34">
        <v>0.006606</v>
      </c>
      <c r="LF3" s="34">
        <v>0.005018</v>
      </c>
      <c r="LG3" s="34">
        <v>0.00554</v>
      </c>
      <c r="LH3" s="34">
        <v>0.005135</v>
      </c>
      <c r="LI3" s="34"/>
      <c r="LJ3" s="34"/>
      <c r="LK3" s="34"/>
      <c r="LL3" s="34"/>
      <c r="LM3" s="34"/>
      <c r="LN3" s="34"/>
      <c r="LO3" s="34"/>
      <c r="LP3" s="36" t="str">
        <v>重庆</v>
      </c>
      <c r="LQ3" s="36">
        <v>0</v>
      </c>
      <c r="LR3" s="36">
        <v>0</v>
      </c>
      <c r="LS3" s="36">
        <v>0</v>
      </c>
      <c r="LT3" s="36">
        <v>0</v>
      </c>
      <c r="LU3" s="36">
        <v>0</v>
      </c>
      <c r="LV3" s="36"/>
      <c r="LW3" s="36"/>
      <c r="LX3" s="36"/>
      <c r="LY3" s="36"/>
      <c r="LZ3" s="36"/>
      <c r="MA3" s="36"/>
      <c r="MB3" s="36"/>
      <c r="MC3" s="34" t="str">
        <v>四川</v>
      </c>
      <c r="MD3" s="34">
        <v>0.003082</v>
      </c>
      <c r="ME3" s="34">
        <v>0.003312</v>
      </c>
      <c r="MF3" s="34">
        <v>0.002128</v>
      </c>
      <c r="MG3" s="34">
        <v>0.001182</v>
      </c>
      <c r="MH3" s="34">
        <v>0.000698</v>
      </c>
      <c r="MI3" s="34"/>
      <c r="MJ3" s="34"/>
      <c r="MK3" s="34"/>
      <c r="ML3" s="34"/>
      <c r="MM3" s="34"/>
      <c r="MN3" s="34"/>
      <c r="MO3" s="34"/>
      <c r="MP3" s="36" t="str">
        <v>广东</v>
      </c>
      <c r="MQ3" s="36">
        <v>0.0042</v>
      </c>
      <c r="MR3" s="36">
        <v>0.0034</v>
      </c>
      <c r="MS3" s="36">
        <v>0.0017</v>
      </c>
      <c r="MT3" s="36">
        <v>0.0033</v>
      </c>
      <c r="MU3" s="36">
        <v>0.0022</v>
      </c>
      <c r="MV3" s="36"/>
      <c r="MW3" s="36"/>
      <c r="MX3" s="36"/>
      <c r="MY3" s="36"/>
      <c r="MZ3" s="36"/>
      <c r="NA3" s="36"/>
      <c r="NB3" s="36"/>
      <c r="NC3" s="34" t="str">
        <v>广西</v>
      </c>
      <c r="ND3" s="34">
        <v>0.003968</v>
      </c>
      <c r="NE3" s="34">
        <v>0.003964</v>
      </c>
      <c r="NF3" s="34">
        <v>0.003611</v>
      </c>
      <c r="NG3" s="34">
        <v>0.002955</v>
      </c>
      <c r="NH3" s="34">
        <v>0.003716</v>
      </c>
      <c r="NI3" s="34"/>
      <c r="NJ3" s="34"/>
      <c r="NK3" s="34"/>
      <c r="NL3" s="34"/>
      <c r="NM3" s="34"/>
      <c r="NN3" s="34"/>
      <c r="NO3" s="34"/>
      <c r="NP3" s="36" t="str">
        <v>云南</v>
      </c>
      <c r="NQ3" s="36"/>
      <c r="NR3" s="36"/>
      <c r="NS3" s="36"/>
      <c r="NT3" s="36"/>
      <c r="NU3" s="36"/>
      <c r="NV3" s="36"/>
      <c r="NW3" s="36"/>
      <c r="NX3" s="36"/>
      <c r="NY3" s="36"/>
      <c r="NZ3" s="36"/>
      <c r="OA3" s="36"/>
      <c r="OB3" s="36"/>
      <c r="OC3" s="34" t="str">
        <v>贵州</v>
      </c>
      <c r="OD3" s="34">
        <v>0</v>
      </c>
      <c r="OE3" s="34">
        <v>0</v>
      </c>
      <c r="OF3" s="34">
        <v>0</v>
      </c>
      <c r="OG3" s="34">
        <v>0</v>
      </c>
      <c r="OH3" s="34">
        <v>0</v>
      </c>
      <c r="OI3" s="34"/>
      <c r="OJ3" s="34"/>
      <c r="OK3" s="34"/>
      <c r="OL3" s="34"/>
      <c r="OM3" s="34"/>
      <c r="ON3" s="34"/>
      <c r="OO3" s="34"/>
      <c r="OP3" s="36" t="str">
        <v>海南</v>
      </c>
      <c r="OQ3" s="36"/>
      <c r="OR3" s="36"/>
      <c r="OS3" s="36"/>
      <c r="OT3" s="36">
        <v>0.00216</v>
      </c>
      <c r="OU3" s="36">
        <v>0.001664</v>
      </c>
      <c r="OV3" s="36"/>
      <c r="OW3" s="36"/>
      <c r="OX3" s="36"/>
      <c r="OY3" s="36"/>
      <c r="OZ3" s="36"/>
      <c r="PA3" s="36"/>
      <c r="PB3" s="36"/>
    </row>
    <row customHeight="true" ht="19" r="4">
      <c r="A4" s="34">
        <v>3</v>
      </c>
      <c r="B4" s="39" t="str">
        <v>（2）抽水蓄能容量电费折合度电水平</v>
      </c>
      <c r="C4" s="34" t="str">
        <v>北京</v>
      </c>
      <c r="D4" s="34">
        <v>0.007258</v>
      </c>
      <c r="E4" s="34">
        <v>0.009188</v>
      </c>
      <c r="F4" s="34">
        <v>0.008309</v>
      </c>
      <c r="G4" s="34">
        <v>0.009903</v>
      </c>
      <c r="H4" s="34">
        <v>0.008907</v>
      </c>
      <c r="I4" s="34"/>
      <c r="J4" s="34"/>
      <c r="K4" s="34"/>
      <c r="L4" s="34"/>
      <c r="M4" s="34"/>
      <c r="N4" s="34"/>
      <c r="O4" s="34"/>
      <c r="P4" s="36" t="str">
        <v>天津</v>
      </c>
      <c r="Q4" s="36">
        <v>0.005129</v>
      </c>
      <c r="R4" s="36">
        <v>0.006585</v>
      </c>
      <c r="S4" s="36">
        <v>0.005202</v>
      </c>
      <c r="T4" s="36">
        <v>0.006771</v>
      </c>
      <c r="U4" s="36">
        <v>0.006079</v>
      </c>
      <c r="V4" s="36"/>
      <c r="W4" s="36"/>
      <c r="X4" s="36"/>
      <c r="Y4" s="36"/>
      <c r="Z4" s="36"/>
      <c r="AA4" s="36"/>
      <c r="AB4" s="36"/>
      <c r="AC4" s="34" t="str">
        <v>河北南网</v>
      </c>
      <c r="AD4" s="34">
        <v>0.007452</v>
      </c>
      <c r="AE4" s="34">
        <v>0.011058</v>
      </c>
      <c r="AF4" s="34">
        <v>0.007869</v>
      </c>
      <c r="AG4" s="34">
        <v>0.008945</v>
      </c>
      <c r="AH4" s="34">
        <v>0.008182</v>
      </c>
      <c r="AI4" s="34"/>
      <c r="AJ4" s="34"/>
      <c r="AK4" s="34"/>
      <c r="AL4" s="34"/>
      <c r="AM4" s="34"/>
      <c r="AN4" s="34"/>
      <c r="AO4" s="34"/>
      <c r="AP4" s="36" t="str">
        <v>冀北</v>
      </c>
      <c r="AQ4" s="36">
        <v>0.002952</v>
      </c>
      <c r="AR4" s="36">
        <v>0.003696</v>
      </c>
      <c r="AS4" s="36">
        <v>0.003003</v>
      </c>
      <c r="AT4" s="36">
        <v>0.003772</v>
      </c>
      <c r="AU4" s="36">
        <v>0.003412</v>
      </c>
      <c r="AV4" s="36"/>
      <c r="AW4" s="36"/>
      <c r="AX4" s="36"/>
      <c r="AY4" s="36"/>
      <c r="AZ4" s="36"/>
      <c r="BA4" s="36"/>
      <c r="BB4" s="36"/>
      <c r="BC4" s="34" t="str">
        <v>山东</v>
      </c>
      <c r="BD4" s="34">
        <v>0.0046</v>
      </c>
      <c r="BE4" s="34">
        <v>0.0064</v>
      </c>
      <c r="BF4" s="34">
        <v>0.0052</v>
      </c>
      <c r="BG4" s="34">
        <v>0.0059</v>
      </c>
      <c r="BH4" s="34">
        <v>0.0052</v>
      </c>
      <c r="BI4" s="34"/>
      <c r="BJ4" s="34"/>
      <c r="BK4" s="34"/>
      <c r="BL4" s="34"/>
      <c r="BM4" s="34"/>
      <c r="BN4" s="34"/>
      <c r="BO4" s="34"/>
      <c r="BP4" s="36" t="str">
        <v>山西</v>
      </c>
      <c r="BQ4" s="36">
        <v>0.00232</v>
      </c>
      <c r="BR4" s="36">
        <v>0.002824</v>
      </c>
      <c r="BS4" s="36">
        <v>-0.00558</v>
      </c>
      <c r="BT4" s="36">
        <v>-0.000525</v>
      </c>
      <c r="BU4" s="36">
        <v>-0.00137</v>
      </c>
      <c r="BV4" s="36"/>
      <c r="BW4" s="36"/>
      <c r="BX4" s="36"/>
      <c r="BY4" s="36"/>
      <c r="BZ4" s="36"/>
      <c r="CA4" s="36"/>
      <c r="CB4" s="36"/>
      <c r="CC4" s="34" t="str">
        <v>蒙西</v>
      </c>
      <c r="CD4" s="34">
        <v>0.0026</v>
      </c>
      <c r="CE4" s="34">
        <v>0.0042</v>
      </c>
      <c r="CF4" s="34">
        <v>0.0023</v>
      </c>
      <c r="CG4" s="34">
        <v>0.0024</v>
      </c>
      <c r="CH4" s="34">
        <v>0.0022</v>
      </c>
      <c r="CI4" s="34"/>
      <c r="CJ4" s="34"/>
      <c r="CK4" s="34"/>
      <c r="CL4" s="34"/>
      <c r="CM4" s="34"/>
      <c r="CN4" s="34"/>
      <c r="CO4" s="34"/>
      <c r="CP4" s="36" t="str">
        <v>上海</v>
      </c>
      <c r="CQ4" s="36">
        <v>0.00987</v>
      </c>
      <c r="CR4" s="36">
        <v>0.00987</v>
      </c>
      <c r="CS4" s="36">
        <v>0.00987</v>
      </c>
      <c r="CT4" s="36">
        <v>0.00987</v>
      </c>
      <c r="CU4" s="36">
        <v>0.00987</v>
      </c>
      <c r="CV4" s="36"/>
      <c r="CW4" s="36"/>
      <c r="CX4" s="36"/>
      <c r="CY4" s="36"/>
      <c r="CZ4" s="36"/>
      <c r="DA4" s="36"/>
      <c r="DB4" s="36"/>
      <c r="DC4" s="34" t="str">
        <v>江苏</v>
      </c>
      <c r="DD4" s="34">
        <v>0.0056</v>
      </c>
      <c r="DE4" s="34">
        <v>0.0089</v>
      </c>
      <c r="DF4" s="34">
        <v>0.0052</v>
      </c>
      <c r="DG4" s="34">
        <v>0.0055</v>
      </c>
      <c r="DH4" s="34">
        <v>0.0058</v>
      </c>
      <c r="DI4" s="34"/>
      <c r="DJ4" s="34"/>
      <c r="DK4" s="34"/>
      <c r="DL4" s="34"/>
      <c r="DM4" s="34"/>
      <c r="DN4" s="34"/>
      <c r="DO4" s="34"/>
      <c r="DP4" s="36" t="str">
        <v>浙江</v>
      </c>
      <c r="DQ4" s="36">
        <v>0.018888</v>
      </c>
      <c r="DR4" s="36">
        <v>0.020755</v>
      </c>
      <c r="DS4" s="36">
        <v>0.008395</v>
      </c>
      <c r="DT4" s="36">
        <v>0.009798</v>
      </c>
      <c r="DU4" s="36">
        <v>0.009102</v>
      </c>
      <c r="DV4" s="36"/>
      <c r="DW4" s="36"/>
      <c r="DX4" s="36"/>
      <c r="DY4" s="36"/>
      <c r="DZ4" s="36"/>
      <c r="EA4" s="36"/>
      <c r="EB4" s="36"/>
      <c r="EC4" s="34" t="str">
        <v>安徽</v>
      </c>
      <c r="ED4" s="34">
        <v>0.0094</v>
      </c>
      <c r="EE4" s="34">
        <v>0.0137</v>
      </c>
      <c r="EF4" s="34">
        <v>0.0101</v>
      </c>
      <c r="EG4" s="34">
        <v>0.0112</v>
      </c>
      <c r="EH4" s="34">
        <v>0.0101</v>
      </c>
      <c r="EI4" s="34"/>
      <c r="EJ4" s="34"/>
      <c r="EK4" s="34"/>
      <c r="EL4" s="34"/>
      <c r="EM4" s="34"/>
      <c r="EN4" s="34"/>
      <c r="EO4" s="34"/>
      <c r="EP4" s="36" t="str">
        <v>福建</v>
      </c>
      <c r="EQ4" s="36">
        <v>0.013846</v>
      </c>
      <c r="ER4" s="36">
        <v>0.022276</v>
      </c>
      <c r="ES4" s="36">
        <v>0.013126</v>
      </c>
      <c r="ET4" s="36">
        <v>0.012811</v>
      </c>
      <c r="EU4" s="36">
        <v>0.012391</v>
      </c>
      <c r="EV4" s="36"/>
      <c r="EW4" s="36"/>
      <c r="EX4" s="36"/>
      <c r="EY4" s="36"/>
      <c r="EZ4" s="36"/>
      <c r="FA4" s="36"/>
      <c r="FB4" s="36"/>
      <c r="FC4" s="34" t="str">
        <v>湖北</v>
      </c>
      <c r="FD4" s="34">
        <v>0.002316</v>
      </c>
      <c r="FE4" s="34">
        <v>0.003151</v>
      </c>
      <c r="FF4" s="34">
        <v>0.002248</v>
      </c>
      <c r="FG4" s="34">
        <v>0.002444</v>
      </c>
      <c r="FH4" s="34">
        <v>0.002369</v>
      </c>
      <c r="FI4" s="34"/>
      <c r="FJ4" s="34"/>
      <c r="FK4" s="34"/>
      <c r="FL4" s="34"/>
      <c r="FM4" s="34"/>
      <c r="FN4" s="34"/>
      <c r="FO4" s="34"/>
      <c r="FP4" s="36" t="str">
        <v>河南</v>
      </c>
      <c r="FQ4" s="36">
        <v>0.004994</v>
      </c>
      <c r="FR4" s="36">
        <v>0.004994</v>
      </c>
      <c r="FS4" s="36">
        <v>0.004994</v>
      </c>
      <c r="FT4" s="36">
        <v>0.004994</v>
      </c>
      <c r="FU4" s="36">
        <v>0.004994</v>
      </c>
      <c r="FV4" s="36"/>
      <c r="FW4" s="36"/>
      <c r="FX4" s="36"/>
      <c r="FY4" s="36"/>
      <c r="FZ4" s="36"/>
      <c r="GA4" s="36"/>
      <c r="GB4" s="36"/>
      <c r="GC4" s="34" t="str">
        <v>湖南</v>
      </c>
      <c r="GD4" s="34">
        <v>0.003475</v>
      </c>
      <c r="GE4" s="34">
        <v>0.004653</v>
      </c>
      <c r="GF4" s="34">
        <v>0.003342</v>
      </c>
      <c r="GG4" s="34">
        <v>0.004069</v>
      </c>
      <c r="GH4" s="34">
        <v>0.003622</v>
      </c>
      <c r="GI4" s="34"/>
      <c r="GJ4" s="34"/>
      <c r="GK4" s="34"/>
      <c r="GL4" s="34"/>
      <c r="GM4" s="34"/>
      <c r="GN4" s="34"/>
      <c r="GO4" s="34"/>
      <c r="GP4" s="36" t="str">
        <v>江西</v>
      </c>
      <c r="GQ4" s="36">
        <v>0.003569</v>
      </c>
      <c r="GR4" s="36">
        <v>0.00619</v>
      </c>
      <c r="GS4" s="36">
        <v>0.003865</v>
      </c>
      <c r="GT4" s="36">
        <v>0.003726</v>
      </c>
      <c r="GU4" s="36">
        <v>0.003767</v>
      </c>
      <c r="GV4" s="36"/>
      <c r="GW4" s="36"/>
      <c r="GX4" s="36"/>
      <c r="GY4" s="36"/>
      <c r="GZ4" s="36"/>
      <c r="HA4" s="36"/>
      <c r="HB4" s="36"/>
      <c r="HC4" s="34" t="str">
        <v>辽宁</v>
      </c>
      <c r="HD4" s="34">
        <v>0.009937</v>
      </c>
      <c r="HE4" s="34">
        <v>0.011568</v>
      </c>
      <c r="HF4" s="34">
        <v>0.009702</v>
      </c>
      <c r="HG4" s="34">
        <v>0.012784</v>
      </c>
      <c r="HH4" s="34">
        <v>0.012481</v>
      </c>
      <c r="HI4" s="34"/>
      <c r="HJ4" s="34"/>
      <c r="HK4" s="34"/>
      <c r="HL4" s="34"/>
      <c r="HM4" s="34"/>
      <c r="HN4" s="34"/>
      <c r="HO4" s="34"/>
      <c r="HP4" s="36" t="str">
        <v>吉林</v>
      </c>
      <c r="HQ4" s="36">
        <v>0.010352</v>
      </c>
      <c r="HR4" s="36">
        <v>0.011051</v>
      </c>
      <c r="HS4" s="36">
        <v>0.009682</v>
      </c>
      <c r="HT4" s="36">
        <v>0.013653</v>
      </c>
      <c r="HU4" s="36">
        <v>0.013368</v>
      </c>
      <c r="HV4" s="36"/>
      <c r="HW4" s="36"/>
      <c r="HX4" s="36"/>
      <c r="HY4" s="36"/>
      <c r="HZ4" s="36"/>
      <c r="IA4" s="36"/>
      <c r="IB4" s="36"/>
      <c r="IC4" s="34" t="str">
        <v>黑龙江</v>
      </c>
      <c r="ID4" s="34">
        <v>0.009281</v>
      </c>
      <c r="IE4" s="34">
        <v>0.012656</v>
      </c>
      <c r="IF4" s="34">
        <v>0.010562</v>
      </c>
      <c r="IG4" s="34">
        <v>0.012071</v>
      </c>
      <c r="IH4" s="34">
        <v>0.012165</v>
      </c>
      <c r="II4" s="34"/>
      <c r="IJ4" s="34"/>
      <c r="IK4" s="34"/>
      <c r="IL4" s="34"/>
      <c r="IM4" s="34"/>
      <c r="IN4" s="34"/>
      <c r="IO4" s="34"/>
      <c r="IP4" s="36" t="str">
        <v>蒙东</v>
      </c>
      <c r="IQ4" s="36">
        <v>0.007252</v>
      </c>
      <c r="IR4" s="36">
        <v>0.010647</v>
      </c>
      <c r="IS4" s="36">
        <v>0.007886</v>
      </c>
      <c r="IT4" s="36">
        <v>0.008586</v>
      </c>
      <c r="IU4" s="36">
        <v>0.007873</v>
      </c>
      <c r="IV4" s="36"/>
      <c r="IW4" s="36"/>
      <c r="IX4" s="36"/>
      <c r="IY4" s="36"/>
      <c r="IZ4" s="36"/>
      <c r="JA4" s="36"/>
      <c r="JB4" s="36"/>
      <c r="JC4" s="34" t="str">
        <v>陕西</v>
      </c>
      <c r="JD4" s="34">
        <v>0.0025</v>
      </c>
      <c r="JE4" s="34">
        <v>0.0026</v>
      </c>
      <c r="JF4" s="34">
        <v>0.0056</v>
      </c>
      <c r="JG4" s="34">
        <v>0.0067</v>
      </c>
      <c r="JH4" s="34">
        <v>0.0025</v>
      </c>
      <c r="JI4" s="34"/>
      <c r="JJ4" s="34"/>
      <c r="JK4" s="34"/>
      <c r="JL4" s="34"/>
      <c r="JM4" s="34"/>
      <c r="JN4" s="34"/>
      <c r="JO4" s="34"/>
      <c r="JP4" s="36" t="str">
        <v>甘肃</v>
      </c>
      <c r="JQ4" s="36">
        <v>0.000765</v>
      </c>
      <c r="JR4" s="36">
        <v>0.000887</v>
      </c>
      <c r="JS4" s="36">
        <v>0.000773</v>
      </c>
      <c r="JT4" s="36">
        <v>0.00089</v>
      </c>
      <c r="JU4" s="36">
        <v>0.00082</v>
      </c>
      <c r="JV4" s="36"/>
      <c r="JW4" s="36"/>
      <c r="JX4" s="36"/>
      <c r="JY4" s="36"/>
      <c r="JZ4" s="36"/>
      <c r="KA4" s="36"/>
      <c r="KB4" s="36"/>
      <c r="KC4" s="34" t="str">
        <v>青海</v>
      </c>
      <c r="KD4" s="34">
        <v>0.000971</v>
      </c>
      <c r="KE4" s="34">
        <v>0.001154</v>
      </c>
      <c r="KF4" s="34">
        <v>0.001025</v>
      </c>
      <c r="KG4" s="34">
        <v>0.001075</v>
      </c>
      <c r="KH4" s="34">
        <v>0.001029</v>
      </c>
      <c r="KI4" s="34"/>
      <c r="KJ4" s="34"/>
      <c r="KK4" s="34"/>
      <c r="KL4" s="34"/>
      <c r="KM4" s="34"/>
      <c r="KN4" s="34"/>
      <c r="KO4" s="34"/>
      <c r="KP4" s="36" t="str">
        <v>宁夏</v>
      </c>
      <c r="KQ4" s="36">
        <v>0.000704</v>
      </c>
      <c r="KR4" s="36">
        <v>0.000788</v>
      </c>
      <c r="KS4" s="36">
        <v>0.000687</v>
      </c>
      <c r="KT4" s="36">
        <v>0.000725</v>
      </c>
      <c r="KU4" s="36">
        <v>0.000673</v>
      </c>
      <c r="KV4" s="36"/>
      <c r="KW4" s="36"/>
      <c r="KX4" s="36"/>
      <c r="KY4" s="36"/>
      <c r="KZ4" s="36"/>
      <c r="LA4" s="36"/>
      <c r="LB4" s="36"/>
      <c r="LC4" s="34" t="str">
        <v>新疆</v>
      </c>
      <c r="LD4" s="34">
        <v>0.004405</v>
      </c>
      <c r="LE4" s="34">
        <v>0.005708</v>
      </c>
      <c r="LF4" s="34">
        <v>0.00456</v>
      </c>
      <c r="LG4" s="34">
        <v>0.006045</v>
      </c>
      <c r="LH4" s="34">
        <v>0.005598</v>
      </c>
      <c r="LI4" s="34"/>
      <c r="LJ4" s="34"/>
      <c r="LK4" s="34"/>
      <c r="LL4" s="34"/>
      <c r="LM4" s="34"/>
      <c r="LN4" s="34"/>
      <c r="LO4" s="34"/>
      <c r="LP4" s="36" t="str">
        <v>重庆</v>
      </c>
      <c r="LQ4" s="36">
        <v>0.00842</v>
      </c>
      <c r="LR4" s="36">
        <v>0.011558</v>
      </c>
      <c r="LS4" s="36">
        <v>0.008662</v>
      </c>
      <c r="LT4" s="36">
        <v>0.009132</v>
      </c>
      <c r="LU4" s="36">
        <v>0.008445</v>
      </c>
      <c r="LV4" s="36"/>
      <c r="LW4" s="36"/>
      <c r="LX4" s="36"/>
      <c r="LY4" s="36"/>
      <c r="LZ4" s="36"/>
      <c r="MA4" s="36"/>
      <c r="MB4" s="36"/>
      <c r="MC4" s="34" t="str">
        <v>四川</v>
      </c>
      <c r="MD4" s="34"/>
      <c r="ME4" s="34"/>
      <c r="MF4" s="34"/>
      <c r="MG4" s="34"/>
      <c r="MH4" s="34"/>
      <c r="MI4" s="34"/>
      <c r="MJ4" s="34"/>
      <c r="MK4" s="34"/>
      <c r="ML4" s="34"/>
      <c r="MM4" s="34"/>
      <c r="MN4" s="34"/>
      <c r="MO4" s="34"/>
      <c r="MP4" s="36" t="str">
        <v>广东</v>
      </c>
      <c r="MQ4" s="36">
        <v>0.0076</v>
      </c>
      <c r="MR4" s="36">
        <v>0.0134</v>
      </c>
      <c r="MS4" s="36">
        <v>0.0069</v>
      </c>
      <c r="MT4" s="36">
        <v>0.0068</v>
      </c>
      <c r="MU4" s="36">
        <v>0.0058</v>
      </c>
      <c r="MV4" s="36"/>
      <c r="MW4" s="36"/>
      <c r="MX4" s="36"/>
      <c r="MY4" s="36"/>
      <c r="MZ4" s="36"/>
      <c r="NA4" s="36"/>
      <c r="NB4" s="36"/>
      <c r="NC4" s="34" t="str">
        <v>广西</v>
      </c>
      <c r="ND4" s="34"/>
      <c r="NE4" s="34"/>
      <c r="NF4" s="34"/>
      <c r="NG4" s="34"/>
      <c r="NH4" s="34"/>
      <c r="NI4" s="34"/>
      <c r="NJ4" s="34"/>
      <c r="NK4" s="34"/>
      <c r="NL4" s="34"/>
      <c r="NM4" s="34"/>
      <c r="NN4" s="34"/>
      <c r="NO4" s="34"/>
      <c r="NP4" s="36" t="str">
        <v>云南</v>
      </c>
      <c r="NQ4" s="36"/>
      <c r="NR4" s="36"/>
      <c r="NS4" s="36"/>
      <c r="NT4" s="36"/>
      <c r="NU4" s="36"/>
      <c r="NV4" s="36"/>
      <c r="NW4" s="36"/>
      <c r="NX4" s="36"/>
      <c r="NY4" s="36"/>
      <c r="NZ4" s="36"/>
      <c r="OA4" s="36"/>
      <c r="OB4" s="36"/>
      <c r="OC4" s="34" t="str">
        <v>贵州</v>
      </c>
      <c r="OD4" s="34">
        <v>0</v>
      </c>
      <c r="OE4" s="34">
        <v>0</v>
      </c>
      <c r="OF4" s="34">
        <v>0</v>
      </c>
      <c r="OG4" s="34">
        <v>0</v>
      </c>
      <c r="OH4" s="34">
        <v>0</v>
      </c>
      <c r="OI4" s="34"/>
      <c r="OJ4" s="34"/>
      <c r="OK4" s="34"/>
      <c r="OL4" s="34"/>
      <c r="OM4" s="34"/>
      <c r="ON4" s="34"/>
      <c r="OO4" s="34"/>
      <c r="OP4" s="36" t="str">
        <v>海南</v>
      </c>
      <c r="OQ4" s="36"/>
      <c r="OR4" s="36"/>
      <c r="OS4" s="36"/>
      <c r="OT4" s="36">
        <v>0.038424</v>
      </c>
      <c r="OU4" s="36">
        <v>0.022927</v>
      </c>
      <c r="OV4" s="36"/>
      <c r="OW4" s="36"/>
      <c r="OX4" s="36"/>
      <c r="OY4" s="36"/>
      <c r="OZ4" s="36"/>
      <c r="PA4" s="36"/>
      <c r="PB4" s="36"/>
    </row>
    <row customHeight="true" ht="19" r="5">
      <c r="A5" s="34">
        <v>4</v>
      </c>
      <c r="B5" s="39" t="str">
        <v>（3）上网环节线损代理采购损益折合度电水平</v>
      </c>
      <c r="C5" s="34" t="str">
        <v>北京</v>
      </c>
      <c r="D5" s="34">
        <v>0.002937</v>
      </c>
      <c r="E5" s="34">
        <v>0.004371</v>
      </c>
      <c r="F5" s="34">
        <v>0.006783</v>
      </c>
      <c r="G5" s="34">
        <v>0.008456</v>
      </c>
      <c r="H5" s="34">
        <v>0.004059</v>
      </c>
      <c r="I5" s="34"/>
      <c r="J5" s="34"/>
      <c r="K5" s="34"/>
      <c r="L5" s="34"/>
      <c r="M5" s="34"/>
      <c r="N5" s="34"/>
      <c r="O5" s="34"/>
      <c r="P5" s="36" t="str">
        <v>天津</v>
      </c>
      <c r="Q5" s="36">
        <v>-0.002736</v>
      </c>
      <c r="R5" s="36">
        <v>-0.006764</v>
      </c>
      <c r="S5" s="36">
        <v>-0.000102</v>
      </c>
      <c r="T5" s="36">
        <v>-0.008798</v>
      </c>
      <c r="U5" s="36">
        <v>-0.006507</v>
      </c>
      <c r="V5" s="36"/>
      <c r="W5" s="36"/>
      <c r="X5" s="36"/>
      <c r="Y5" s="36"/>
      <c r="Z5" s="36"/>
      <c r="AA5" s="36"/>
      <c r="AB5" s="36"/>
      <c r="AC5" s="34" t="str">
        <v>河北南网</v>
      </c>
      <c r="AD5" s="34">
        <v>-0.007036</v>
      </c>
      <c r="AE5" s="34">
        <v>-0.01229</v>
      </c>
      <c r="AF5" s="34">
        <v>-0.009175</v>
      </c>
      <c r="AG5" s="34">
        <v>-0.006058</v>
      </c>
      <c r="AH5" s="34">
        <v>-0.005532</v>
      </c>
      <c r="AI5" s="34"/>
      <c r="AJ5" s="34"/>
      <c r="AK5" s="34"/>
      <c r="AL5" s="34"/>
      <c r="AM5" s="34"/>
      <c r="AN5" s="34"/>
      <c r="AO5" s="34"/>
      <c r="AP5" s="36" t="str">
        <v>冀北</v>
      </c>
      <c r="AQ5" s="36">
        <v>-0.005854</v>
      </c>
      <c r="AR5" s="36">
        <v>-0.00603</v>
      </c>
      <c r="AS5" s="36">
        <v>-0.005735</v>
      </c>
      <c r="AT5" s="36">
        <v>-0.004254</v>
      </c>
      <c r="AU5" s="36">
        <v>-0.004709</v>
      </c>
      <c r="AV5" s="36"/>
      <c r="AW5" s="36"/>
      <c r="AX5" s="36"/>
      <c r="AY5" s="36"/>
      <c r="AZ5" s="36"/>
      <c r="BA5" s="36"/>
      <c r="BB5" s="36"/>
      <c r="BC5" s="34" t="str">
        <v>山东</v>
      </c>
      <c r="BD5" s="34">
        <v>-0.0016</v>
      </c>
      <c r="BE5" s="34">
        <v>-0.0007</v>
      </c>
      <c r="BF5" s="34">
        <v>-0.0007</v>
      </c>
      <c r="BG5" s="34">
        <v>0.002</v>
      </c>
      <c r="BH5" s="34">
        <v>-0.0003</v>
      </c>
      <c r="BI5" s="34"/>
      <c r="BJ5" s="34"/>
      <c r="BK5" s="34"/>
      <c r="BL5" s="34"/>
      <c r="BM5" s="34"/>
      <c r="BN5" s="34"/>
      <c r="BO5" s="34"/>
      <c r="BP5" s="36" t="str">
        <v>山西</v>
      </c>
      <c r="BQ5" s="36">
        <v>-0.000627</v>
      </c>
      <c r="BR5" s="36">
        <v>-0.00335</v>
      </c>
      <c r="BS5" s="36">
        <v>-0.000627</v>
      </c>
      <c r="BT5" s="36">
        <v>0.0004</v>
      </c>
      <c r="BU5" s="36">
        <v>-0.001568</v>
      </c>
      <c r="BV5" s="36"/>
      <c r="BW5" s="36"/>
      <c r="BX5" s="36"/>
      <c r="BY5" s="36"/>
      <c r="BZ5" s="36"/>
      <c r="CA5" s="36"/>
      <c r="CB5" s="36"/>
      <c r="CC5" s="34" t="str">
        <v>蒙西</v>
      </c>
      <c r="CD5" s="34">
        <v>0.0016</v>
      </c>
      <c r="CE5" s="34">
        <v>0.002</v>
      </c>
      <c r="CF5" s="34">
        <v>0.0014</v>
      </c>
      <c r="CG5" s="34">
        <v>0.0011</v>
      </c>
      <c r="CH5" s="34">
        <v>-0.0009</v>
      </c>
      <c r="CI5" s="34"/>
      <c r="CJ5" s="34"/>
      <c r="CK5" s="34"/>
      <c r="CL5" s="34"/>
      <c r="CM5" s="34"/>
      <c r="CN5" s="34"/>
      <c r="CO5" s="34"/>
      <c r="CP5" s="36" t="str">
        <v>上海</v>
      </c>
      <c r="CQ5" s="36">
        <v>0.003</v>
      </c>
      <c r="CR5" s="36">
        <v>-0.001166</v>
      </c>
      <c r="CS5" s="36">
        <v>-0.002345</v>
      </c>
      <c r="CT5" s="36">
        <v>-0.003324</v>
      </c>
      <c r="CU5" s="36">
        <v>-0.000817</v>
      </c>
      <c r="CV5" s="36"/>
      <c r="CW5" s="36"/>
      <c r="CX5" s="36"/>
      <c r="CY5" s="36"/>
      <c r="CZ5" s="36"/>
      <c r="DA5" s="36"/>
      <c r="DB5" s="36"/>
      <c r="DC5" s="34" t="str">
        <v>江苏</v>
      </c>
      <c r="DD5" s="34">
        <v>-0.0008</v>
      </c>
      <c r="DE5" s="34">
        <v>-0.0044</v>
      </c>
      <c r="DF5" s="34">
        <v>-0.0021</v>
      </c>
      <c r="DG5" s="34">
        <v>-0.0004</v>
      </c>
      <c r="DH5" s="34">
        <v>-0.002</v>
      </c>
      <c r="DI5" s="34"/>
      <c r="DJ5" s="34"/>
      <c r="DK5" s="34"/>
      <c r="DL5" s="34"/>
      <c r="DM5" s="34"/>
      <c r="DN5" s="34"/>
      <c r="DO5" s="34"/>
      <c r="DP5" s="36" t="str">
        <v>浙江</v>
      </c>
      <c r="DQ5" s="36">
        <v>0</v>
      </c>
      <c r="DR5" s="36">
        <v>0</v>
      </c>
      <c r="DS5" s="36">
        <v>0</v>
      </c>
      <c r="DT5" s="36">
        <v>0</v>
      </c>
      <c r="DU5" s="36">
        <v>0</v>
      </c>
      <c r="DV5" s="36"/>
      <c r="DW5" s="36"/>
      <c r="DX5" s="36"/>
      <c r="DY5" s="36"/>
      <c r="DZ5" s="36"/>
      <c r="EA5" s="36"/>
      <c r="EB5" s="36"/>
      <c r="EC5" s="34" t="str">
        <v>安徽</v>
      </c>
      <c r="ED5" s="34">
        <v>-0.0002</v>
      </c>
      <c r="EE5" s="34">
        <v>-0.0005</v>
      </c>
      <c r="EF5" s="34">
        <v>0.0005</v>
      </c>
      <c r="EG5" s="34">
        <v>-0.0003</v>
      </c>
      <c r="EH5" s="34">
        <v>0</v>
      </c>
      <c r="EI5" s="34"/>
      <c r="EJ5" s="34"/>
      <c r="EK5" s="34"/>
      <c r="EL5" s="34"/>
      <c r="EM5" s="34"/>
      <c r="EN5" s="34"/>
      <c r="EO5" s="34"/>
      <c r="EP5" s="36" t="str">
        <v>福建</v>
      </c>
      <c r="EQ5" s="36">
        <v>-0.00281</v>
      </c>
      <c r="ER5" s="36">
        <v>-0.003928</v>
      </c>
      <c r="ES5" s="36">
        <v>-0.002455</v>
      </c>
      <c r="ET5" s="36">
        <v>-0.001219</v>
      </c>
      <c r="EU5" s="36">
        <v>-0.002243</v>
      </c>
      <c r="EV5" s="36"/>
      <c r="EW5" s="36"/>
      <c r="EX5" s="36"/>
      <c r="EY5" s="36"/>
      <c r="EZ5" s="36"/>
      <c r="FA5" s="36"/>
      <c r="FB5" s="36"/>
      <c r="FC5" s="34" t="str">
        <v>湖北</v>
      </c>
      <c r="FD5" s="34">
        <v>0</v>
      </c>
      <c r="FE5" s="34">
        <v>0</v>
      </c>
      <c r="FF5" s="34">
        <v>0</v>
      </c>
      <c r="FG5" s="34">
        <v>0</v>
      </c>
      <c r="FH5" s="34">
        <v>0</v>
      </c>
      <c r="FI5" s="34"/>
      <c r="FJ5" s="34"/>
      <c r="FK5" s="34"/>
      <c r="FL5" s="34"/>
      <c r="FM5" s="34"/>
      <c r="FN5" s="34"/>
      <c r="FO5" s="34"/>
      <c r="FP5" s="36" t="str">
        <v>河南</v>
      </c>
      <c r="FQ5" s="36">
        <v>0</v>
      </c>
      <c r="FR5" s="36">
        <v>0</v>
      </c>
      <c r="FS5" s="36">
        <v>0</v>
      </c>
      <c r="FT5" s="36">
        <v>0</v>
      </c>
      <c r="FU5" s="36">
        <v>0</v>
      </c>
      <c r="FV5" s="36"/>
      <c r="FW5" s="36"/>
      <c r="FX5" s="36"/>
      <c r="FY5" s="36"/>
      <c r="FZ5" s="36"/>
      <c r="GA5" s="36"/>
      <c r="GB5" s="36"/>
      <c r="GC5" s="34" t="str">
        <v>湖南</v>
      </c>
      <c r="GD5" s="34">
        <v>-0.013693</v>
      </c>
      <c r="GE5" s="34">
        <v>-0.008985</v>
      </c>
      <c r="GF5" s="34">
        <v>-0.021702</v>
      </c>
      <c r="GG5" s="34">
        <v>0.002105</v>
      </c>
      <c r="GH5" s="34">
        <v>0.009853</v>
      </c>
      <c r="GI5" s="34"/>
      <c r="GJ5" s="34"/>
      <c r="GK5" s="34"/>
      <c r="GL5" s="34"/>
      <c r="GM5" s="34"/>
      <c r="GN5" s="34"/>
      <c r="GO5" s="34"/>
      <c r="GP5" s="36" t="str">
        <v>江西</v>
      </c>
      <c r="GQ5" s="36">
        <v>0.000774</v>
      </c>
      <c r="GR5" s="36">
        <v>-0.002098</v>
      </c>
      <c r="GS5" s="36">
        <v>-0.003915</v>
      </c>
      <c r="GT5" s="36">
        <v>-0.001589</v>
      </c>
      <c r="GU5" s="36">
        <v>-0.00279</v>
      </c>
      <c r="GV5" s="36"/>
      <c r="GW5" s="36"/>
      <c r="GX5" s="36"/>
      <c r="GY5" s="36"/>
      <c r="GZ5" s="36"/>
      <c r="HA5" s="36"/>
      <c r="HB5" s="36"/>
      <c r="HC5" s="34" t="str">
        <v>辽宁</v>
      </c>
      <c r="HD5" s="34">
        <v>0.000995</v>
      </c>
      <c r="HE5" s="34">
        <v>0.001841</v>
      </c>
      <c r="HF5" s="34">
        <v>0.000497</v>
      </c>
      <c r="HG5" s="34">
        <v>-0.002413</v>
      </c>
      <c r="HH5" s="34">
        <v>0.000008</v>
      </c>
      <c r="HI5" s="34"/>
      <c r="HJ5" s="34"/>
      <c r="HK5" s="34"/>
      <c r="HL5" s="34"/>
      <c r="HM5" s="34"/>
      <c r="HN5" s="34"/>
      <c r="HO5" s="34"/>
      <c r="HP5" s="36" t="str">
        <v>吉林</v>
      </c>
      <c r="HQ5" s="36">
        <v>-0.001944</v>
      </c>
      <c r="HR5" s="36">
        <v>-0.002264</v>
      </c>
      <c r="HS5" s="36">
        <v>-0.004851</v>
      </c>
      <c r="HT5" s="36">
        <v>-0.011823</v>
      </c>
      <c r="HU5" s="36">
        <v>0.001682</v>
      </c>
      <c r="HV5" s="36"/>
      <c r="HW5" s="36"/>
      <c r="HX5" s="36"/>
      <c r="HY5" s="36"/>
      <c r="HZ5" s="36"/>
      <c r="IA5" s="36"/>
      <c r="IB5" s="36"/>
      <c r="IC5" s="34" t="str">
        <v>黑龙江</v>
      </c>
      <c r="ID5" s="34">
        <v>0.006274</v>
      </c>
      <c r="IE5" s="34">
        <v>0.002778</v>
      </c>
      <c r="IF5" s="34">
        <v>-0.000494</v>
      </c>
      <c r="IG5" s="34">
        <v>-0.005983</v>
      </c>
      <c r="IH5" s="34">
        <v>-0.006866</v>
      </c>
      <c r="II5" s="34"/>
      <c r="IJ5" s="34"/>
      <c r="IK5" s="34"/>
      <c r="IL5" s="34"/>
      <c r="IM5" s="34"/>
      <c r="IN5" s="34"/>
      <c r="IO5" s="34"/>
      <c r="IP5" s="36" t="str">
        <v>蒙东</v>
      </c>
      <c r="IQ5" s="36">
        <v>-0.004101</v>
      </c>
      <c r="IR5" s="36">
        <v>-0.006839</v>
      </c>
      <c r="IS5" s="36">
        <v>-0.002463</v>
      </c>
      <c r="IT5" s="36">
        <v>-0.002216</v>
      </c>
      <c r="IU5" s="36">
        <v>-0.003802</v>
      </c>
      <c r="IV5" s="36"/>
      <c r="IW5" s="36"/>
      <c r="IX5" s="36"/>
      <c r="IY5" s="36"/>
      <c r="IZ5" s="36"/>
      <c r="JA5" s="36"/>
      <c r="JB5" s="36"/>
      <c r="JC5" s="34" t="str">
        <v>陕西</v>
      </c>
      <c r="JD5" s="34">
        <v>0.0003</v>
      </c>
      <c r="JE5" s="34">
        <v>-0.0008</v>
      </c>
      <c r="JF5" s="34">
        <v>-0.0002</v>
      </c>
      <c r="JG5" s="34">
        <v>-0.0001</v>
      </c>
      <c r="JH5" s="34">
        <v>-0.0007</v>
      </c>
      <c r="JI5" s="34"/>
      <c r="JJ5" s="34"/>
      <c r="JK5" s="34"/>
      <c r="JL5" s="34"/>
      <c r="JM5" s="34"/>
      <c r="JN5" s="34"/>
      <c r="JO5" s="34"/>
      <c r="JP5" s="36" t="str">
        <v>甘肃</v>
      </c>
      <c r="JQ5" s="36">
        <v>-0.000657</v>
      </c>
      <c r="JR5" s="36">
        <v>-0.000332</v>
      </c>
      <c r="JS5" s="36">
        <v>0.000755</v>
      </c>
      <c r="JT5" s="36">
        <v>-0.002168</v>
      </c>
      <c r="JU5" s="36">
        <v>-0.000411</v>
      </c>
      <c r="JV5" s="36"/>
      <c r="JW5" s="36"/>
      <c r="JX5" s="36"/>
      <c r="JY5" s="36"/>
      <c r="JZ5" s="36"/>
      <c r="KA5" s="36"/>
      <c r="KB5" s="36"/>
      <c r="KC5" s="34" t="str">
        <v>青海</v>
      </c>
      <c r="KD5" s="34">
        <v>-0.003711</v>
      </c>
      <c r="KE5" s="34">
        <v>-0.004754</v>
      </c>
      <c r="KF5" s="34">
        <v>-0.004917</v>
      </c>
      <c r="KG5" s="34">
        <v>-0.007435</v>
      </c>
      <c r="KH5" s="34">
        <v>-0.004082</v>
      </c>
      <c r="KI5" s="34"/>
      <c r="KJ5" s="34"/>
      <c r="KK5" s="34"/>
      <c r="KL5" s="34"/>
      <c r="KM5" s="34"/>
      <c r="KN5" s="34"/>
      <c r="KO5" s="34"/>
      <c r="KP5" s="36" t="str">
        <v>宁夏</v>
      </c>
      <c r="KQ5" s="36">
        <v>0.0015</v>
      </c>
      <c r="KR5" s="36">
        <v>-0.0005</v>
      </c>
      <c r="KS5" s="36">
        <v>0.0012</v>
      </c>
      <c r="KT5" s="36">
        <v>-0.0001</v>
      </c>
      <c r="KU5" s="36">
        <v>0.0011</v>
      </c>
      <c r="KV5" s="36"/>
      <c r="KW5" s="36"/>
      <c r="KX5" s="36"/>
      <c r="KY5" s="36"/>
      <c r="KZ5" s="36"/>
      <c r="LA5" s="36"/>
      <c r="LB5" s="36"/>
      <c r="LC5" s="34" t="str">
        <v>新疆</v>
      </c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6" t="str">
        <v>重庆</v>
      </c>
      <c r="LQ5" s="36">
        <v>-0.000614</v>
      </c>
      <c r="LR5" s="36">
        <v>-0.000572</v>
      </c>
      <c r="LS5" s="36">
        <v>-0.001206</v>
      </c>
      <c r="LT5" s="36">
        <v>0.001483</v>
      </c>
      <c r="LU5" s="36">
        <v>0.000054</v>
      </c>
      <c r="LV5" s="36"/>
      <c r="LW5" s="36"/>
      <c r="LX5" s="36"/>
      <c r="LY5" s="36"/>
      <c r="LZ5" s="36"/>
      <c r="MA5" s="36"/>
      <c r="MB5" s="36"/>
      <c r="MC5" s="34" t="str">
        <v>四川</v>
      </c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6" t="str">
        <v>广东</v>
      </c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4" t="str">
        <v>广西</v>
      </c>
      <c r="ND5" s="34"/>
      <c r="NE5" s="34"/>
      <c r="NF5" s="34"/>
      <c r="NG5" s="34"/>
      <c r="NH5" s="34"/>
      <c r="NI5" s="34"/>
      <c r="NJ5" s="34"/>
      <c r="NK5" s="34"/>
      <c r="NL5" s="34"/>
      <c r="NM5" s="34"/>
      <c r="NN5" s="34"/>
      <c r="NO5" s="34"/>
      <c r="NP5" s="36" t="str">
        <v>云南</v>
      </c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4" t="str">
        <v>贵州</v>
      </c>
      <c r="OD5" s="34"/>
      <c r="OE5" s="34"/>
      <c r="OF5" s="34"/>
      <c r="OG5" s="34"/>
      <c r="OH5" s="34"/>
      <c r="OI5" s="34"/>
      <c r="OJ5" s="34"/>
      <c r="OK5" s="34"/>
      <c r="OL5" s="34"/>
      <c r="OM5" s="34"/>
      <c r="ON5" s="34"/>
      <c r="OO5" s="34"/>
      <c r="OP5" s="36" t="str">
        <v>海南</v>
      </c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</row>
    <row customHeight="true" ht="19" r="6">
      <c r="A6" s="34">
        <v>5</v>
      </c>
      <c r="B6" s="39" t="str">
        <v>（4）电价交叉补贴新增损益折合度电水平</v>
      </c>
      <c r="C6" s="34" t="str">
        <v>北京</v>
      </c>
      <c r="D6" s="34">
        <v>-0.02</v>
      </c>
      <c r="E6" s="34">
        <v>-0.02</v>
      </c>
      <c r="F6" s="34">
        <v>-0.02</v>
      </c>
      <c r="G6" s="34">
        <v>-0.02</v>
      </c>
      <c r="H6" s="34">
        <v>-0.02</v>
      </c>
      <c r="I6" s="34"/>
      <c r="J6" s="34"/>
      <c r="K6" s="34"/>
      <c r="L6" s="34"/>
      <c r="M6" s="34"/>
      <c r="N6" s="34"/>
      <c r="O6" s="34"/>
      <c r="P6" s="36" t="str">
        <v>天津</v>
      </c>
      <c r="Q6" s="36">
        <v>0.101753</v>
      </c>
      <c r="R6" s="36">
        <v>0.07277</v>
      </c>
      <c r="S6" s="36">
        <v>0.033072</v>
      </c>
      <c r="T6" s="36">
        <v>0.007389</v>
      </c>
      <c r="U6" s="36">
        <v>0.001197</v>
      </c>
      <c r="V6" s="36"/>
      <c r="W6" s="36"/>
      <c r="X6" s="36"/>
      <c r="Y6" s="36"/>
      <c r="Z6" s="36"/>
      <c r="AA6" s="36"/>
      <c r="AB6" s="36"/>
      <c r="AC6" s="34" t="str">
        <v>河北南网</v>
      </c>
      <c r="AD6" s="34">
        <v>0.017188</v>
      </c>
      <c r="AE6" s="34">
        <v>0.019393</v>
      </c>
      <c r="AF6" s="34">
        <v>-0.010192</v>
      </c>
      <c r="AG6" s="34">
        <v>-0.051134</v>
      </c>
      <c r="AH6" s="34">
        <v>-0.0258</v>
      </c>
      <c r="AI6" s="34"/>
      <c r="AJ6" s="34"/>
      <c r="AK6" s="34"/>
      <c r="AL6" s="34"/>
      <c r="AM6" s="34"/>
      <c r="AN6" s="34"/>
      <c r="AO6" s="34"/>
      <c r="AP6" s="36" t="str">
        <v>冀北</v>
      </c>
      <c r="AQ6" s="36">
        <v>0.016109</v>
      </c>
      <c r="AR6" s="36">
        <v>0.016534</v>
      </c>
      <c r="AS6" s="36">
        <v>0.013603</v>
      </c>
      <c r="AT6" s="36">
        <v>0.005914</v>
      </c>
      <c r="AU6" s="36">
        <v>0.002418</v>
      </c>
      <c r="AV6" s="36"/>
      <c r="AW6" s="36"/>
      <c r="AX6" s="36"/>
      <c r="AY6" s="36"/>
      <c r="AZ6" s="36"/>
      <c r="BA6" s="36"/>
      <c r="BB6" s="36"/>
      <c r="BC6" s="34" t="str">
        <v>山东</v>
      </c>
      <c r="BD6" s="34">
        <v>-0.026</v>
      </c>
      <c r="BE6" s="34">
        <v>-0.0095</v>
      </c>
      <c r="BF6" s="34">
        <v>-0.0145</v>
      </c>
      <c r="BG6" s="34">
        <v>-0.0217</v>
      </c>
      <c r="BH6" s="34">
        <v>-0.0188</v>
      </c>
      <c r="BI6" s="34"/>
      <c r="BJ6" s="34"/>
      <c r="BK6" s="34"/>
      <c r="BL6" s="34"/>
      <c r="BM6" s="34"/>
      <c r="BN6" s="34"/>
      <c r="BO6" s="34"/>
      <c r="BP6" s="36" t="str">
        <v>山西</v>
      </c>
      <c r="BQ6" s="36">
        <v>0.030867</v>
      </c>
      <c r="BR6" s="36">
        <v>0.025794</v>
      </c>
      <c r="BS6" s="36">
        <v>0.010438</v>
      </c>
      <c r="BT6" s="36">
        <v>-0.003819</v>
      </c>
      <c r="BU6" s="36">
        <v>-0.005836</v>
      </c>
      <c r="BV6" s="36"/>
      <c r="BW6" s="36"/>
      <c r="BX6" s="36"/>
      <c r="BY6" s="36"/>
      <c r="BZ6" s="36"/>
      <c r="CA6" s="36"/>
      <c r="CB6" s="36"/>
      <c r="CC6" s="34" t="str">
        <v>蒙西</v>
      </c>
      <c r="CD6" s="34">
        <v>-0.0013</v>
      </c>
      <c r="CE6" s="34">
        <v>-0.0013</v>
      </c>
      <c r="CF6" s="34">
        <v>-0.0026</v>
      </c>
      <c r="CG6" s="34">
        <v>0.007</v>
      </c>
      <c r="CH6" s="34">
        <v>-0.0009</v>
      </c>
      <c r="CI6" s="34"/>
      <c r="CJ6" s="34"/>
      <c r="CK6" s="34"/>
      <c r="CL6" s="34"/>
      <c r="CM6" s="34"/>
      <c r="CN6" s="34"/>
      <c r="CO6" s="34"/>
      <c r="CP6" s="36" t="str">
        <v>上海</v>
      </c>
      <c r="CQ6" s="36">
        <v>-0.0182</v>
      </c>
      <c r="CR6" s="36">
        <v>-0.026879</v>
      </c>
      <c r="CS6" s="36">
        <v>-0.025757</v>
      </c>
      <c r="CT6" s="36">
        <v>-0.011433</v>
      </c>
      <c r="CU6" s="36">
        <v>-0.015644</v>
      </c>
      <c r="CV6" s="36"/>
      <c r="CW6" s="36"/>
      <c r="CX6" s="36"/>
      <c r="CY6" s="36"/>
      <c r="CZ6" s="36"/>
      <c r="DA6" s="36"/>
      <c r="DB6" s="36"/>
      <c r="DC6" s="34" t="str">
        <v>江苏</v>
      </c>
      <c r="DD6" s="34">
        <v>0.0151</v>
      </c>
      <c r="DE6" s="34">
        <v>0.0349</v>
      </c>
      <c r="DF6" s="34">
        <v>0.0074</v>
      </c>
      <c r="DG6" s="34">
        <v>-0.0194</v>
      </c>
      <c r="DH6" s="34">
        <v>-0.0093</v>
      </c>
      <c r="DI6" s="34"/>
      <c r="DJ6" s="34"/>
      <c r="DK6" s="34"/>
      <c r="DL6" s="34"/>
      <c r="DM6" s="34"/>
      <c r="DN6" s="34"/>
      <c r="DO6" s="34"/>
      <c r="DP6" s="36" t="str">
        <v>浙江</v>
      </c>
      <c r="DQ6" s="36">
        <v>-0.015787</v>
      </c>
      <c r="DR6" s="36">
        <v>-0.127455</v>
      </c>
      <c r="DS6" s="36">
        <v>0.009039</v>
      </c>
      <c r="DT6" s="36">
        <v>0.024189</v>
      </c>
      <c r="DU6" s="36">
        <v>-0.003022</v>
      </c>
      <c r="DV6" s="36"/>
      <c r="DW6" s="36"/>
      <c r="DX6" s="36"/>
      <c r="DY6" s="36"/>
      <c r="DZ6" s="36"/>
      <c r="EA6" s="36"/>
      <c r="EB6" s="36"/>
      <c r="EC6" s="34" t="str">
        <v>安徽</v>
      </c>
      <c r="ED6" s="34">
        <v>-0.0132</v>
      </c>
      <c r="EE6" s="34">
        <v>-0.0419</v>
      </c>
      <c r="EF6" s="34">
        <v>0.0046</v>
      </c>
      <c r="EG6" s="34">
        <v>0.0085</v>
      </c>
      <c r="EH6" s="34">
        <v>-0.014</v>
      </c>
      <c r="EI6" s="34"/>
      <c r="EJ6" s="34"/>
      <c r="EK6" s="34"/>
      <c r="EL6" s="34"/>
      <c r="EM6" s="34"/>
      <c r="EN6" s="34"/>
      <c r="EO6" s="34"/>
      <c r="EP6" s="36" t="str">
        <v>福建</v>
      </c>
      <c r="EQ6" s="36">
        <v>0.001979</v>
      </c>
      <c r="ER6" s="36">
        <v>0.02192</v>
      </c>
      <c r="ES6" s="36">
        <v>-0.007435</v>
      </c>
      <c r="ET6" s="36">
        <v>0.005084</v>
      </c>
      <c r="EU6" s="36">
        <v>0.005205</v>
      </c>
      <c r="EV6" s="36"/>
      <c r="EW6" s="36"/>
      <c r="EX6" s="36"/>
      <c r="EY6" s="36"/>
      <c r="EZ6" s="36"/>
      <c r="FA6" s="36"/>
      <c r="FB6" s="36"/>
      <c r="FC6" s="34" t="str">
        <v>湖北</v>
      </c>
      <c r="FD6" s="34">
        <v>0.017294</v>
      </c>
      <c r="FE6" s="34">
        <v>0.018906</v>
      </c>
      <c r="FF6" s="34">
        <v>0.00652</v>
      </c>
      <c r="FG6" s="34">
        <v>-0.010275</v>
      </c>
      <c r="FH6" s="34">
        <v>0.001226</v>
      </c>
      <c r="FI6" s="34"/>
      <c r="FJ6" s="34"/>
      <c r="FK6" s="34"/>
      <c r="FL6" s="34"/>
      <c r="FM6" s="34"/>
      <c r="FN6" s="34"/>
      <c r="FO6" s="34"/>
      <c r="FP6" s="36" t="str">
        <v>河南</v>
      </c>
      <c r="FQ6" s="36">
        <v>-0.009535</v>
      </c>
      <c r="FR6" s="36">
        <v>0.016158</v>
      </c>
      <c r="FS6" s="36">
        <v>0.006228</v>
      </c>
      <c r="FT6" s="36">
        <v>-0.043244</v>
      </c>
      <c r="FU6" s="36">
        <v>-0.03674</v>
      </c>
      <c r="FV6" s="36"/>
      <c r="FW6" s="36"/>
      <c r="FX6" s="36"/>
      <c r="FY6" s="36"/>
      <c r="FZ6" s="36"/>
      <c r="GA6" s="36"/>
      <c r="GB6" s="36"/>
      <c r="GC6" s="34" t="str">
        <v>湖南</v>
      </c>
      <c r="GD6" s="34">
        <v>-0.013301</v>
      </c>
      <c r="GE6" s="34">
        <v>0.013344</v>
      </c>
      <c r="GF6" s="34">
        <v>0.00397</v>
      </c>
      <c r="GG6" s="34">
        <v>-0.005667</v>
      </c>
      <c r="GH6" s="34">
        <v>-0.081683</v>
      </c>
      <c r="GI6" s="34"/>
      <c r="GJ6" s="34"/>
      <c r="GK6" s="34"/>
      <c r="GL6" s="34"/>
      <c r="GM6" s="34"/>
      <c r="GN6" s="34"/>
      <c r="GO6" s="34"/>
      <c r="GP6" s="36" t="str">
        <v>江西</v>
      </c>
      <c r="GQ6" s="36">
        <v>0.005922</v>
      </c>
      <c r="GR6" s="36">
        <v>0.009098</v>
      </c>
      <c r="GS6" s="36">
        <v>-0.006052</v>
      </c>
      <c r="GT6" s="36">
        <v>-0.015341</v>
      </c>
      <c r="GU6" s="36">
        <v>-0.018751</v>
      </c>
      <c r="GV6" s="36"/>
      <c r="GW6" s="36"/>
      <c r="GX6" s="36"/>
      <c r="GY6" s="36"/>
      <c r="GZ6" s="36"/>
      <c r="HA6" s="36"/>
      <c r="HB6" s="36"/>
      <c r="HC6" s="34" t="str">
        <v>辽宁</v>
      </c>
      <c r="HD6" s="34">
        <v>0.00226</v>
      </c>
      <c r="HE6" s="34">
        <v>0.007001</v>
      </c>
      <c r="HF6" s="34">
        <v>0.017285</v>
      </c>
      <c r="HG6" s="34">
        <v>0.011657</v>
      </c>
      <c r="HH6" s="34">
        <v>0.005449</v>
      </c>
      <c r="HI6" s="34"/>
      <c r="HJ6" s="34"/>
      <c r="HK6" s="34"/>
      <c r="HL6" s="34"/>
      <c r="HM6" s="34"/>
      <c r="HN6" s="34"/>
      <c r="HO6" s="34"/>
      <c r="HP6" s="36" t="str">
        <v>吉林</v>
      </c>
      <c r="HQ6" s="36">
        <v>-0.030037</v>
      </c>
      <c r="HR6" s="36">
        <v>-0.032684</v>
      </c>
      <c r="HS6" s="36">
        <v>-0.016926</v>
      </c>
      <c r="HT6" s="36">
        <v>-0.044093</v>
      </c>
      <c r="HU6" s="36">
        <v>-0.028266</v>
      </c>
      <c r="HV6" s="36"/>
      <c r="HW6" s="36"/>
      <c r="HX6" s="36"/>
      <c r="HY6" s="36"/>
      <c r="HZ6" s="36"/>
      <c r="IA6" s="36"/>
      <c r="IB6" s="36"/>
      <c r="IC6" s="34" t="str">
        <v>黑龙江</v>
      </c>
      <c r="ID6" s="34">
        <v>0.01462</v>
      </c>
      <c r="IE6" s="34">
        <v>0.008691</v>
      </c>
      <c r="IF6" s="34">
        <v>0.00744</v>
      </c>
      <c r="IG6" s="34">
        <v>-0.030406</v>
      </c>
      <c r="IH6" s="34">
        <v>-0.03985</v>
      </c>
      <c r="II6" s="34"/>
      <c r="IJ6" s="34"/>
      <c r="IK6" s="34"/>
      <c r="IL6" s="34"/>
      <c r="IM6" s="34"/>
      <c r="IN6" s="34"/>
      <c r="IO6" s="34"/>
      <c r="IP6" s="36" t="str">
        <v>蒙东</v>
      </c>
      <c r="IQ6" s="36">
        <v>-0.020048</v>
      </c>
      <c r="IR6" s="36">
        <v>-0.021611</v>
      </c>
      <c r="IS6" s="36">
        <v>-0.055316</v>
      </c>
      <c r="IT6" s="36">
        <v>-0.038556</v>
      </c>
      <c r="IU6" s="36">
        <v>0.013359</v>
      </c>
      <c r="IV6" s="36"/>
      <c r="IW6" s="36"/>
      <c r="IX6" s="36"/>
      <c r="IY6" s="36"/>
      <c r="IZ6" s="36"/>
      <c r="JA6" s="36"/>
      <c r="JB6" s="36"/>
      <c r="JC6" s="34" t="str">
        <v>陕西</v>
      </c>
      <c r="JD6" s="34">
        <v>0.0047</v>
      </c>
      <c r="JE6" s="34">
        <v>0.0018</v>
      </c>
      <c r="JF6" s="34">
        <v>0.0182</v>
      </c>
      <c r="JG6" s="34">
        <v>-0.0105</v>
      </c>
      <c r="JH6" s="34">
        <v>-0.0147</v>
      </c>
      <c r="JI6" s="34"/>
      <c r="JJ6" s="34"/>
      <c r="JK6" s="34"/>
      <c r="JL6" s="34"/>
      <c r="JM6" s="34"/>
      <c r="JN6" s="34"/>
      <c r="JO6" s="34"/>
      <c r="JP6" s="36" t="str">
        <v>甘肃</v>
      </c>
      <c r="JQ6" s="36">
        <v>0.002364</v>
      </c>
      <c r="JR6" s="36">
        <v>-0.006502</v>
      </c>
      <c r="JS6" s="36">
        <v>-0.011909</v>
      </c>
      <c r="JT6" s="36">
        <v>-0.009828</v>
      </c>
      <c r="JU6" s="36">
        <v>-0.014908</v>
      </c>
      <c r="JV6" s="36"/>
      <c r="JW6" s="36"/>
      <c r="JX6" s="36"/>
      <c r="JY6" s="36"/>
      <c r="JZ6" s="36"/>
      <c r="KA6" s="36"/>
      <c r="KB6" s="36"/>
      <c r="KC6" s="34" t="str">
        <v>青海</v>
      </c>
      <c r="KD6" s="34">
        <v>0.018925</v>
      </c>
      <c r="KE6" s="34">
        <v>0.016216</v>
      </c>
      <c r="KF6" s="34">
        <v>0.013277</v>
      </c>
      <c r="KG6" s="34">
        <v>-0.004637</v>
      </c>
      <c r="KH6" s="34">
        <v>-0.006313</v>
      </c>
      <c r="KI6" s="34"/>
      <c r="KJ6" s="34"/>
      <c r="KK6" s="34"/>
      <c r="KL6" s="34"/>
      <c r="KM6" s="34"/>
      <c r="KN6" s="34"/>
      <c r="KO6" s="34"/>
      <c r="KP6" s="36" t="str">
        <v>宁夏</v>
      </c>
      <c r="KQ6" s="36">
        <v>-0.0009</v>
      </c>
      <c r="KR6" s="36">
        <v>0.0034</v>
      </c>
      <c r="KS6" s="36">
        <v>0.0079</v>
      </c>
      <c r="KT6" s="36">
        <v>-0.0067</v>
      </c>
      <c r="KU6" s="36">
        <v>0.0103</v>
      </c>
      <c r="KV6" s="36"/>
      <c r="KW6" s="36"/>
      <c r="KX6" s="36"/>
      <c r="KY6" s="36"/>
      <c r="KZ6" s="36"/>
      <c r="LA6" s="36"/>
      <c r="LB6" s="36"/>
      <c r="LC6" s="34" t="str">
        <v>新疆</v>
      </c>
      <c r="LD6" s="34">
        <v>0.00327</v>
      </c>
      <c r="LE6" s="34">
        <v>0</v>
      </c>
      <c r="LF6" s="34">
        <v>0.001188</v>
      </c>
      <c r="LG6" s="34">
        <v>-0.012294</v>
      </c>
      <c r="LH6" s="34">
        <v>-0.023195</v>
      </c>
      <c r="LI6" s="34"/>
      <c r="LJ6" s="34"/>
      <c r="LK6" s="34"/>
      <c r="LL6" s="34"/>
      <c r="LM6" s="34"/>
      <c r="LN6" s="34"/>
      <c r="LO6" s="34"/>
      <c r="LP6" s="36" t="str">
        <v>重庆</v>
      </c>
      <c r="LQ6" s="36">
        <v>0.006584</v>
      </c>
      <c r="LR6" s="36">
        <v>0.018179</v>
      </c>
      <c r="LS6" s="36">
        <v>-0.026926</v>
      </c>
      <c r="LT6" s="36">
        <v>-0.031526</v>
      </c>
      <c r="LU6" s="36">
        <v>-0.030336</v>
      </c>
      <c r="LV6" s="36"/>
      <c r="LW6" s="36"/>
      <c r="LX6" s="36"/>
      <c r="LY6" s="36"/>
      <c r="LZ6" s="36"/>
      <c r="MA6" s="36"/>
      <c r="MB6" s="36"/>
      <c r="MC6" s="34" t="str">
        <v>四川</v>
      </c>
      <c r="MD6" s="34">
        <v>0.036034</v>
      </c>
      <c r="ME6" s="34">
        <v>0.020977</v>
      </c>
      <c r="MF6" s="34">
        <v>0.011761</v>
      </c>
      <c r="MG6" s="34">
        <v>0.032673</v>
      </c>
      <c r="MH6" s="34">
        <v>0.014138</v>
      </c>
      <c r="MI6" s="34"/>
      <c r="MJ6" s="34"/>
      <c r="MK6" s="34"/>
      <c r="ML6" s="34"/>
      <c r="MM6" s="34"/>
      <c r="MN6" s="34"/>
      <c r="MO6" s="34"/>
      <c r="MP6" s="36" t="str">
        <v>广东</v>
      </c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4" t="str">
        <v>广西</v>
      </c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6" t="str">
        <v>云南</v>
      </c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4" t="str">
        <v>贵州</v>
      </c>
      <c r="OD6" s="34">
        <v>0.065515</v>
      </c>
      <c r="OE6" s="34">
        <v>0.041932</v>
      </c>
      <c r="OF6" s="34">
        <v>0.002896</v>
      </c>
      <c r="OG6" s="34">
        <v>-0.020795</v>
      </c>
      <c r="OH6" s="34">
        <v>-0.019846</v>
      </c>
      <c r="OI6" s="34"/>
      <c r="OJ6" s="34"/>
      <c r="OK6" s="34"/>
      <c r="OL6" s="34"/>
      <c r="OM6" s="34"/>
      <c r="ON6" s="34"/>
      <c r="OO6" s="34"/>
      <c r="OP6" s="36" t="str">
        <v>海南</v>
      </c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</row>
    <row customHeight="true" ht="19" r="7">
      <c r="A7" s="34">
        <v>6</v>
      </c>
      <c r="B7" s="39" t="str">
        <v>（5）煤电容量电费折合度电水平</v>
      </c>
      <c r="C7" s="34" t="str">
        <v>北京</v>
      </c>
      <c r="D7" s="34">
        <v>0.019455</v>
      </c>
      <c r="E7" s="34">
        <v>0.024164</v>
      </c>
      <c r="F7" s="34">
        <v>0.014037</v>
      </c>
      <c r="G7" s="34">
        <v>0.023531</v>
      </c>
      <c r="H7" s="34">
        <v>0.016548</v>
      </c>
      <c r="I7" s="34"/>
      <c r="J7" s="34"/>
      <c r="K7" s="34"/>
      <c r="L7" s="34"/>
      <c r="M7" s="34"/>
      <c r="N7" s="34"/>
      <c r="O7" s="34"/>
      <c r="P7" s="36" t="str">
        <v>天津</v>
      </c>
      <c r="Q7" s="36">
        <v>0.032915</v>
      </c>
      <c r="R7" s="36">
        <v>0.036182</v>
      </c>
      <c r="S7" s="36">
        <v>0.034397</v>
      </c>
      <c r="T7" s="36">
        <v>0.041502</v>
      </c>
      <c r="U7" s="36">
        <v>0.051853</v>
      </c>
      <c r="V7" s="36"/>
      <c r="W7" s="36"/>
      <c r="X7" s="36"/>
      <c r="Y7" s="36"/>
      <c r="Z7" s="36"/>
      <c r="AA7" s="36"/>
      <c r="AB7" s="36"/>
      <c r="AC7" s="34" t="str">
        <v>河北南网</v>
      </c>
      <c r="AD7" s="34">
        <v>0.032369</v>
      </c>
      <c r="AE7" s="34">
        <v>0.047489</v>
      </c>
      <c r="AF7" s="34">
        <v>0.034704</v>
      </c>
      <c r="AG7" s="34">
        <v>0.041469</v>
      </c>
      <c r="AH7" s="34">
        <v>0.037512</v>
      </c>
      <c r="AI7" s="34"/>
      <c r="AJ7" s="34"/>
      <c r="AK7" s="34"/>
      <c r="AL7" s="34"/>
      <c r="AM7" s="34"/>
      <c r="AN7" s="34"/>
      <c r="AO7" s="34"/>
      <c r="AP7" s="36" t="str">
        <v>冀北</v>
      </c>
      <c r="AQ7" s="36">
        <v>0.02612</v>
      </c>
      <c r="AR7" s="36">
        <v>0.032169</v>
      </c>
      <c r="AS7" s="36">
        <v>0.029361</v>
      </c>
      <c r="AT7" s="36">
        <v>0.03644</v>
      </c>
      <c r="AU7" s="36">
        <v>0.031846</v>
      </c>
      <c r="AV7" s="36"/>
      <c r="AW7" s="36"/>
      <c r="AX7" s="36"/>
      <c r="AY7" s="36"/>
      <c r="AZ7" s="36"/>
      <c r="BA7" s="36"/>
      <c r="BB7" s="36"/>
      <c r="BC7" s="34" t="str">
        <v>山东</v>
      </c>
      <c r="BD7" s="34">
        <v>0.0172</v>
      </c>
      <c r="BE7" s="34">
        <v>0.0261</v>
      </c>
      <c r="BF7" s="34">
        <v>0.0189</v>
      </c>
      <c r="BG7" s="34">
        <v>0.0209</v>
      </c>
      <c r="BH7" s="34">
        <v>0.0176</v>
      </c>
      <c r="BI7" s="34"/>
      <c r="BJ7" s="34"/>
      <c r="BK7" s="34"/>
      <c r="BL7" s="34"/>
      <c r="BM7" s="34"/>
      <c r="BN7" s="34"/>
      <c r="BO7" s="34"/>
      <c r="BP7" s="36" t="str">
        <v>山西</v>
      </c>
      <c r="BQ7" s="36">
        <v>0.023661</v>
      </c>
      <c r="BR7" s="36">
        <v>0.030768</v>
      </c>
      <c r="BS7" s="36">
        <v>0.032734</v>
      </c>
      <c r="BT7" s="36">
        <v>0.037411</v>
      </c>
      <c r="BU7" s="36">
        <v>0.03073</v>
      </c>
      <c r="BV7" s="36"/>
      <c r="BW7" s="36"/>
      <c r="BX7" s="36"/>
      <c r="BY7" s="36"/>
      <c r="BZ7" s="36"/>
      <c r="CA7" s="36"/>
      <c r="CB7" s="36"/>
      <c r="CC7" s="34" t="str">
        <v>蒙西</v>
      </c>
      <c r="CD7" s="34">
        <v>0.0179</v>
      </c>
      <c r="CE7" s="34">
        <v>0.0203</v>
      </c>
      <c r="CF7" s="34">
        <v>0.0225</v>
      </c>
      <c r="CG7" s="34">
        <v>0.0231</v>
      </c>
      <c r="CH7" s="34">
        <v>0.0199</v>
      </c>
      <c r="CI7" s="34"/>
      <c r="CJ7" s="34"/>
      <c r="CK7" s="34"/>
      <c r="CL7" s="34"/>
      <c r="CM7" s="34"/>
      <c r="CN7" s="34"/>
      <c r="CO7" s="34"/>
      <c r="CP7" s="36" t="str">
        <v>上海</v>
      </c>
      <c r="CQ7" s="36">
        <v>0.0219</v>
      </c>
      <c r="CR7" s="36">
        <v>0.027398</v>
      </c>
      <c r="CS7" s="36">
        <v>0.014705</v>
      </c>
      <c r="CT7" s="36">
        <v>0.026536</v>
      </c>
      <c r="CU7" s="36">
        <v>0.022786</v>
      </c>
      <c r="CV7" s="36"/>
      <c r="CW7" s="36"/>
      <c r="CX7" s="36"/>
      <c r="CY7" s="36"/>
      <c r="CZ7" s="36"/>
      <c r="DA7" s="36"/>
      <c r="DB7" s="36"/>
      <c r="DC7" s="34" t="str">
        <v>江苏</v>
      </c>
      <c r="DD7" s="34">
        <v>0.0268</v>
      </c>
      <c r="DE7" s="34">
        <v>0.043</v>
      </c>
      <c r="DF7" s="34">
        <v>0.035</v>
      </c>
      <c r="DG7" s="34">
        <v>0.0342</v>
      </c>
      <c r="DH7" s="34">
        <v>0.034</v>
      </c>
      <c r="DI7" s="34"/>
      <c r="DJ7" s="34"/>
      <c r="DK7" s="34"/>
      <c r="DL7" s="34"/>
      <c r="DM7" s="34"/>
      <c r="DN7" s="34"/>
      <c r="DO7" s="34"/>
      <c r="DP7" s="36" t="str">
        <v>浙江</v>
      </c>
      <c r="DQ7" s="36">
        <v>0.022566</v>
      </c>
      <c r="DR7" s="36">
        <v>0.045314</v>
      </c>
      <c r="DS7" s="36">
        <v>0.022437</v>
      </c>
      <c r="DT7" s="36">
        <v>0.024991</v>
      </c>
      <c r="DU7" s="36">
        <v>0.024256</v>
      </c>
      <c r="DV7" s="36"/>
      <c r="DW7" s="36"/>
      <c r="DX7" s="36"/>
      <c r="DY7" s="36"/>
      <c r="DZ7" s="36"/>
      <c r="EA7" s="36"/>
      <c r="EB7" s="36"/>
      <c r="EC7" s="34" t="str">
        <v>安徽</v>
      </c>
      <c r="ED7" s="34">
        <v>0.034</v>
      </c>
      <c r="EE7" s="34">
        <v>0.0497</v>
      </c>
      <c r="EF7" s="34">
        <v>0.0379</v>
      </c>
      <c r="EG7" s="34">
        <v>0.0425</v>
      </c>
      <c r="EH7" s="34">
        <v>0.0386</v>
      </c>
      <c r="EI7" s="34"/>
      <c r="EJ7" s="34"/>
      <c r="EK7" s="34"/>
      <c r="EL7" s="34"/>
      <c r="EM7" s="34"/>
      <c r="EN7" s="34"/>
      <c r="EO7" s="34"/>
      <c r="EP7" s="36" t="str">
        <v>福建</v>
      </c>
      <c r="EQ7" s="36">
        <v>0.024636</v>
      </c>
      <c r="ER7" s="36">
        <v>0.042078</v>
      </c>
      <c r="ES7" s="36">
        <v>0.024613</v>
      </c>
      <c r="ET7" s="36">
        <v>0.025997</v>
      </c>
      <c r="EU7" s="36">
        <v>0.027137</v>
      </c>
      <c r="EV7" s="36"/>
      <c r="EW7" s="36"/>
      <c r="EX7" s="36"/>
      <c r="EY7" s="36"/>
      <c r="EZ7" s="36"/>
      <c r="FA7" s="36"/>
      <c r="FB7" s="36"/>
      <c r="FC7" s="34" t="str">
        <v>湖北</v>
      </c>
      <c r="FD7" s="34">
        <v>0.036657</v>
      </c>
      <c r="FE7" s="34">
        <v>0.051409</v>
      </c>
      <c r="FF7" s="34">
        <v>0.036851</v>
      </c>
      <c r="FG7" s="34">
        <v>0.040094</v>
      </c>
      <c r="FH7" s="34">
        <v>0.038793</v>
      </c>
      <c r="FI7" s="34"/>
      <c r="FJ7" s="34"/>
      <c r="FK7" s="34"/>
      <c r="FL7" s="34"/>
      <c r="FM7" s="34"/>
      <c r="FN7" s="34"/>
      <c r="FO7" s="34"/>
      <c r="FP7" s="36" t="str">
        <v>河南</v>
      </c>
      <c r="FQ7" s="36">
        <v>0.038401</v>
      </c>
      <c r="FR7" s="36">
        <v>0.052143</v>
      </c>
      <c r="FS7" s="36">
        <v>0.041559</v>
      </c>
      <c r="FT7" s="36">
        <v>0.042552</v>
      </c>
      <c r="FU7" s="36">
        <v>0.040252</v>
      </c>
      <c r="FV7" s="36"/>
      <c r="FW7" s="36"/>
      <c r="FX7" s="36"/>
      <c r="FY7" s="36"/>
      <c r="FZ7" s="36"/>
      <c r="GA7" s="36"/>
      <c r="GB7" s="36"/>
      <c r="GC7" s="34" t="str">
        <v>湖南</v>
      </c>
      <c r="GD7" s="34">
        <v>0.048457</v>
      </c>
      <c r="GE7" s="34">
        <v>0.06667</v>
      </c>
      <c r="GF7" s="34">
        <v>0.029762</v>
      </c>
      <c r="GG7" s="34">
        <v>0.048917</v>
      </c>
      <c r="GH7" s="34">
        <v>0.057163</v>
      </c>
      <c r="GI7" s="34"/>
      <c r="GJ7" s="34"/>
      <c r="GK7" s="34"/>
      <c r="GL7" s="34"/>
      <c r="GM7" s="34"/>
      <c r="GN7" s="34"/>
      <c r="GO7" s="34"/>
      <c r="GP7" s="36" t="str">
        <v>江西</v>
      </c>
      <c r="GQ7" s="36">
        <v>0.033547</v>
      </c>
      <c r="GR7" s="36">
        <v>0.05915</v>
      </c>
      <c r="GS7" s="36">
        <v>0.038366</v>
      </c>
      <c r="GT7" s="36">
        <v>0.03597</v>
      </c>
      <c r="GU7" s="36">
        <v>0.036037</v>
      </c>
      <c r="GV7" s="36"/>
      <c r="GW7" s="36"/>
      <c r="GX7" s="36"/>
      <c r="GY7" s="36"/>
      <c r="GZ7" s="36"/>
      <c r="HA7" s="36"/>
      <c r="HB7" s="36"/>
      <c r="HC7" s="34" t="str">
        <v>辽宁</v>
      </c>
      <c r="HD7" s="34">
        <v>0.023981</v>
      </c>
      <c r="HE7" s="34">
        <v>0.025696</v>
      </c>
      <c r="HF7" s="34">
        <v>0.021504</v>
      </c>
      <c r="HG7" s="34">
        <v>0.027077</v>
      </c>
      <c r="HH7" s="34">
        <v>0.029677</v>
      </c>
      <c r="HI7" s="34"/>
      <c r="HJ7" s="34"/>
      <c r="HK7" s="34"/>
      <c r="HL7" s="34"/>
      <c r="HM7" s="34"/>
      <c r="HN7" s="34"/>
      <c r="HO7" s="34"/>
      <c r="HP7" s="36" t="str">
        <v>吉林</v>
      </c>
      <c r="HQ7" s="36">
        <v>0.080683</v>
      </c>
      <c r="HR7" s="36">
        <v>0.089897</v>
      </c>
      <c r="HS7" s="36">
        <v>0.066341</v>
      </c>
      <c r="HT7" s="36">
        <v>0.10351</v>
      </c>
      <c r="HU7" s="36">
        <v>0.115802</v>
      </c>
      <c r="HV7" s="36"/>
      <c r="HW7" s="36"/>
      <c r="HX7" s="36"/>
      <c r="HY7" s="36"/>
      <c r="HZ7" s="36"/>
      <c r="IA7" s="36"/>
      <c r="IB7" s="36"/>
      <c r="IC7" s="34" t="str">
        <v>黑龙江</v>
      </c>
      <c r="ID7" s="34">
        <v>0.078206</v>
      </c>
      <c r="IE7" s="34">
        <v>0.092747</v>
      </c>
      <c r="IF7" s="34">
        <v>0.088419</v>
      </c>
      <c r="IG7" s="34">
        <v>0.100213</v>
      </c>
      <c r="IH7" s="34">
        <v>0.113296</v>
      </c>
      <c r="II7" s="34"/>
      <c r="IJ7" s="34"/>
      <c r="IK7" s="34"/>
      <c r="IL7" s="34"/>
      <c r="IM7" s="34"/>
      <c r="IN7" s="34"/>
      <c r="IO7" s="34"/>
      <c r="IP7" s="36" t="str">
        <v>蒙东</v>
      </c>
      <c r="IQ7" s="36">
        <v>0.028325</v>
      </c>
      <c r="IR7" s="36">
        <v>0.039816</v>
      </c>
      <c r="IS7" s="36">
        <v>0.028878</v>
      </c>
      <c r="IT7" s="36">
        <v>0.02766</v>
      </c>
      <c r="IU7" s="36">
        <v>0.021105</v>
      </c>
      <c r="IV7" s="36"/>
      <c r="IW7" s="36"/>
      <c r="IX7" s="36"/>
      <c r="IY7" s="36"/>
      <c r="IZ7" s="36"/>
      <c r="JA7" s="36"/>
      <c r="JB7" s="36"/>
      <c r="JC7" s="34" t="str">
        <v>陕西</v>
      </c>
      <c r="JD7" s="34">
        <v>0.0173</v>
      </c>
      <c r="JE7" s="34">
        <v>0.0226</v>
      </c>
      <c r="JF7" s="34">
        <v>0.0286</v>
      </c>
      <c r="JG7" s="34">
        <v>0.0333</v>
      </c>
      <c r="JH7" s="34">
        <v>0.0175</v>
      </c>
      <c r="JI7" s="34"/>
      <c r="JJ7" s="34"/>
      <c r="JK7" s="34"/>
      <c r="JL7" s="34"/>
      <c r="JM7" s="34"/>
      <c r="JN7" s="34"/>
      <c r="JO7" s="34"/>
      <c r="JP7" s="36" t="str">
        <v>甘肃</v>
      </c>
      <c r="JQ7" s="36">
        <v>0.01103</v>
      </c>
      <c r="JR7" s="36">
        <v>0.030476</v>
      </c>
      <c r="JS7" s="36">
        <v>0.039871</v>
      </c>
      <c r="JT7" s="36">
        <v>0.09178</v>
      </c>
      <c r="JU7" s="36">
        <v>0.045256</v>
      </c>
      <c r="JV7" s="36"/>
      <c r="JW7" s="36"/>
      <c r="JX7" s="36"/>
      <c r="JY7" s="36"/>
      <c r="JZ7" s="36"/>
      <c r="KA7" s="36"/>
      <c r="KB7" s="36"/>
      <c r="KC7" s="34" t="str">
        <v>青海</v>
      </c>
      <c r="KD7" s="34">
        <v>0.004757</v>
      </c>
      <c r="KE7" s="34">
        <v>0.008912</v>
      </c>
      <c r="KF7" s="34">
        <v>0.007392</v>
      </c>
      <c r="KG7" s="34">
        <v>0.007434</v>
      </c>
      <c r="KH7" s="34">
        <v>0.007514</v>
      </c>
      <c r="KI7" s="34"/>
      <c r="KJ7" s="34"/>
      <c r="KK7" s="34"/>
      <c r="KL7" s="34"/>
      <c r="KM7" s="34"/>
      <c r="KN7" s="34"/>
      <c r="KO7" s="34"/>
      <c r="KP7" s="36" t="str">
        <v>宁夏</v>
      </c>
      <c r="KQ7" s="36">
        <v>0.013</v>
      </c>
      <c r="KR7" s="36">
        <v>0.0146</v>
      </c>
      <c r="KS7" s="36">
        <v>0.0138</v>
      </c>
      <c r="KT7" s="36">
        <v>0.0152</v>
      </c>
      <c r="KU7" s="36">
        <v>0.0134</v>
      </c>
      <c r="KV7" s="36"/>
      <c r="KW7" s="36"/>
      <c r="KX7" s="36"/>
      <c r="KY7" s="36"/>
      <c r="KZ7" s="36"/>
      <c r="LA7" s="36"/>
      <c r="LB7" s="36"/>
      <c r="LC7" s="34" t="str">
        <v>新疆</v>
      </c>
      <c r="LD7" s="34">
        <v>0.024175</v>
      </c>
      <c r="LE7" s="34">
        <v>0.027753</v>
      </c>
      <c r="LF7" s="34">
        <v>0.023533</v>
      </c>
      <c r="LG7" s="34">
        <v>0.033739</v>
      </c>
      <c r="LH7" s="34">
        <v>0.028216</v>
      </c>
      <c r="LI7" s="34"/>
      <c r="LJ7" s="34"/>
      <c r="LK7" s="34"/>
      <c r="LL7" s="34"/>
      <c r="LM7" s="34"/>
      <c r="LN7" s="34"/>
      <c r="LO7" s="34"/>
      <c r="LP7" s="36" t="str">
        <v>重庆</v>
      </c>
      <c r="LQ7" s="36">
        <v>0.026618</v>
      </c>
      <c r="LR7" s="36">
        <v>0.036812</v>
      </c>
      <c r="LS7" s="36">
        <v>0.027721</v>
      </c>
      <c r="LT7" s="36">
        <v>0.029228</v>
      </c>
      <c r="LU7" s="36">
        <v>0.027027</v>
      </c>
      <c r="LV7" s="36"/>
      <c r="LW7" s="36"/>
      <c r="LX7" s="36"/>
      <c r="LY7" s="36"/>
      <c r="LZ7" s="36"/>
      <c r="MA7" s="36"/>
      <c r="MB7" s="36"/>
      <c r="MC7" s="34" t="str">
        <v>四川</v>
      </c>
      <c r="MD7" s="34">
        <v>0.007687</v>
      </c>
      <c r="ME7" s="34">
        <v>0.014157</v>
      </c>
      <c r="MF7" s="34">
        <v>0.010491</v>
      </c>
      <c r="MG7" s="34">
        <v>0.013274</v>
      </c>
      <c r="MH7" s="34">
        <v>0.009639</v>
      </c>
      <c r="MI7" s="34"/>
      <c r="MJ7" s="34"/>
      <c r="MK7" s="34"/>
      <c r="ML7" s="34"/>
      <c r="MM7" s="34"/>
      <c r="MN7" s="34"/>
      <c r="MO7" s="34"/>
      <c r="MP7" s="36" t="str">
        <v>广东</v>
      </c>
      <c r="MQ7" s="36">
        <v>0.0424</v>
      </c>
      <c r="MR7" s="36">
        <v>0.068</v>
      </c>
      <c r="MS7" s="36">
        <v>0.0449</v>
      </c>
      <c r="MT7" s="36">
        <v>0.0404</v>
      </c>
      <c r="MU7" s="36">
        <v>0.0351</v>
      </c>
      <c r="MV7" s="36"/>
      <c r="MW7" s="36"/>
      <c r="MX7" s="36"/>
      <c r="MY7" s="36"/>
      <c r="MZ7" s="36"/>
      <c r="NA7" s="36"/>
      <c r="NB7" s="36"/>
      <c r="NC7" s="34" t="str">
        <v>广西</v>
      </c>
      <c r="ND7" s="34">
        <v>0.024752</v>
      </c>
      <c r="NE7" s="34">
        <v>0.034366</v>
      </c>
      <c r="NF7" s="34">
        <v>0.024304</v>
      </c>
      <c r="NG7" s="34">
        <v>0.023169</v>
      </c>
      <c r="NH7" s="34">
        <v>0.022689</v>
      </c>
      <c r="NI7" s="34"/>
      <c r="NJ7" s="34"/>
      <c r="NK7" s="34"/>
      <c r="NL7" s="34"/>
      <c r="NM7" s="34"/>
      <c r="NN7" s="34"/>
      <c r="NO7" s="34"/>
      <c r="NP7" s="36" t="str">
        <v>云南</v>
      </c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4" t="str">
        <v>贵州</v>
      </c>
      <c r="OD7" s="34"/>
      <c r="OE7" s="34">
        <v>0.025105</v>
      </c>
      <c r="OF7" s="34">
        <v>0.002093</v>
      </c>
      <c r="OG7" s="34">
        <v>0.01974</v>
      </c>
      <c r="OH7" s="34">
        <v>0.01485</v>
      </c>
      <c r="OI7" s="34"/>
      <c r="OJ7" s="34"/>
      <c r="OK7" s="34"/>
      <c r="OL7" s="34"/>
      <c r="OM7" s="34"/>
      <c r="ON7" s="34"/>
      <c r="OO7" s="34"/>
      <c r="OP7" s="36" t="str">
        <v>海南</v>
      </c>
      <c r="OQ7" s="36"/>
      <c r="OR7" s="36"/>
      <c r="OS7" s="36"/>
      <c r="OT7" s="36">
        <v>0.012875</v>
      </c>
      <c r="OU7" s="36">
        <v>0.007639</v>
      </c>
      <c r="OV7" s="36"/>
      <c r="OW7" s="36"/>
      <c r="OX7" s="36"/>
      <c r="OY7" s="36"/>
      <c r="OZ7" s="36"/>
      <c r="PA7" s="36"/>
      <c r="PB7" s="36"/>
    </row>
    <row customHeight="true" ht="19" r="8">
      <c r="A8" s="34">
        <v>7</v>
      </c>
      <c r="B8" s="39" t="str">
        <v>（6）天然气发电容量电费折合度电水平</v>
      </c>
      <c r="C8" s="34" t="str">
        <v>北京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6" t="str">
        <v>天津</v>
      </c>
      <c r="Q8" s="36">
        <v>0.021376</v>
      </c>
      <c r="R8" s="36">
        <v>0.030427</v>
      </c>
      <c r="S8" s="36">
        <v>0.021619</v>
      </c>
      <c r="T8" s="36">
        <v>0.028341</v>
      </c>
      <c r="U8" s="36">
        <v>0.025143</v>
      </c>
      <c r="V8" s="36"/>
      <c r="W8" s="36"/>
      <c r="X8" s="36"/>
      <c r="Y8" s="36"/>
      <c r="Z8" s="36"/>
      <c r="AA8" s="36"/>
      <c r="AB8" s="36"/>
      <c r="AC8" s="34" t="str">
        <v>河北南网</v>
      </c>
      <c r="AD8" s="34">
        <v>0.001412</v>
      </c>
      <c r="AE8" s="34">
        <v>0.002046</v>
      </c>
      <c r="AF8" s="34">
        <v>0.001532</v>
      </c>
      <c r="AG8" s="34">
        <v>0.001785</v>
      </c>
      <c r="AH8" s="34">
        <v>0.001573</v>
      </c>
      <c r="AI8" s="34"/>
      <c r="AJ8" s="34"/>
      <c r="AK8" s="34"/>
      <c r="AL8" s="34"/>
      <c r="AM8" s="34"/>
      <c r="AN8" s="34"/>
      <c r="AO8" s="34"/>
      <c r="AP8" s="36" t="str">
        <v>冀北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36"/>
      <c r="AW8" s="36"/>
      <c r="AX8" s="36"/>
      <c r="AY8" s="36"/>
      <c r="AZ8" s="36"/>
      <c r="BA8" s="36"/>
      <c r="BB8" s="36"/>
      <c r="BC8" s="34" t="str">
        <v>山东</v>
      </c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6" t="str">
        <v>山西</v>
      </c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4" t="str">
        <v>蒙西</v>
      </c>
      <c r="CD8" s="34">
        <v>0.0002</v>
      </c>
      <c r="CE8" s="34">
        <v>0.0019</v>
      </c>
      <c r="CF8" s="34">
        <v>0.0002</v>
      </c>
      <c r="CG8" s="34">
        <v>0.0003</v>
      </c>
      <c r="CH8" s="34">
        <v>0.0002</v>
      </c>
      <c r="CI8" s="34"/>
      <c r="CJ8" s="34"/>
      <c r="CK8" s="34"/>
      <c r="CL8" s="34"/>
      <c r="CM8" s="34"/>
      <c r="CN8" s="34"/>
      <c r="CO8" s="34"/>
      <c r="CP8" s="36" t="str">
        <v>上海</v>
      </c>
      <c r="CQ8" s="36">
        <v>0.0289</v>
      </c>
      <c r="CR8" s="36">
        <v>0.0289</v>
      </c>
      <c r="CS8" s="36">
        <v>0.0289</v>
      </c>
      <c r="CT8" s="36">
        <v>0.0289</v>
      </c>
      <c r="CU8" s="36">
        <v>0.0289</v>
      </c>
      <c r="CV8" s="36"/>
      <c r="CW8" s="36"/>
      <c r="CX8" s="36"/>
      <c r="CY8" s="36"/>
      <c r="CZ8" s="36"/>
      <c r="DA8" s="36"/>
      <c r="DB8" s="36"/>
      <c r="DC8" s="34" t="str">
        <v>江苏</v>
      </c>
      <c r="DD8" s="34">
        <v>0.023</v>
      </c>
      <c r="DE8" s="34">
        <v>0.023</v>
      </c>
      <c r="DF8" s="34">
        <v>0.023</v>
      </c>
      <c r="DG8" s="34">
        <v>0.023</v>
      </c>
      <c r="DH8" s="34">
        <v>0.023</v>
      </c>
      <c r="DI8" s="34"/>
      <c r="DJ8" s="34"/>
      <c r="DK8" s="34"/>
      <c r="DL8" s="34"/>
      <c r="DM8" s="34"/>
      <c r="DN8" s="34"/>
      <c r="DO8" s="34"/>
      <c r="DP8" s="36" t="str">
        <v>浙江</v>
      </c>
      <c r="DQ8" s="36">
        <v>0.00926</v>
      </c>
      <c r="DR8" s="36">
        <v>0.019595</v>
      </c>
      <c r="DS8" s="36">
        <v>0.009302</v>
      </c>
      <c r="DT8" s="36">
        <v>0.010371</v>
      </c>
      <c r="DU8" s="36">
        <v>0.009385</v>
      </c>
      <c r="DV8" s="36"/>
      <c r="DW8" s="36"/>
      <c r="DX8" s="36"/>
      <c r="DY8" s="36"/>
      <c r="DZ8" s="36"/>
      <c r="EA8" s="36"/>
      <c r="EB8" s="36"/>
      <c r="EC8" s="34" t="str">
        <v>安徽</v>
      </c>
      <c r="ED8" s="34">
        <v>0.0027</v>
      </c>
      <c r="EE8" s="34">
        <v>0.0039</v>
      </c>
      <c r="EF8" s="34">
        <v>0.0029</v>
      </c>
      <c r="EG8" s="34">
        <v>0.0032</v>
      </c>
      <c r="EH8" s="34">
        <v>0.0029</v>
      </c>
      <c r="EI8" s="34"/>
      <c r="EJ8" s="34"/>
      <c r="EK8" s="34"/>
      <c r="EL8" s="34"/>
      <c r="EM8" s="34"/>
      <c r="EN8" s="34"/>
      <c r="EO8" s="34"/>
      <c r="EP8" s="36" t="str">
        <v>福建</v>
      </c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4" t="str">
        <v>湖北</v>
      </c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6" t="str">
        <v>河南</v>
      </c>
      <c r="FQ8" s="36">
        <v>0.005675</v>
      </c>
      <c r="FR8" s="36">
        <v>0.007703</v>
      </c>
      <c r="FS8" s="36">
        <v>0.006172</v>
      </c>
      <c r="FT8" s="36">
        <v>0.006287</v>
      </c>
      <c r="FU8" s="36">
        <v>0.005909</v>
      </c>
      <c r="FV8" s="36"/>
      <c r="FW8" s="36"/>
      <c r="FX8" s="36"/>
      <c r="FY8" s="36"/>
      <c r="FZ8" s="36"/>
      <c r="GA8" s="36"/>
      <c r="GB8" s="36"/>
      <c r="GC8" s="34" t="str">
        <v>湖南</v>
      </c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6" t="str">
        <v>江西</v>
      </c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4" t="str">
        <v>辽宁</v>
      </c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6" t="str">
        <v>吉林</v>
      </c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4" t="str">
        <v>黑龙江</v>
      </c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6" t="str">
        <v>蒙东</v>
      </c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4" t="str">
        <v>陕西</v>
      </c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6" t="str">
        <v>甘肃</v>
      </c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4" t="str">
        <v>青海</v>
      </c>
      <c r="KD8" s="34">
        <v>0.000475</v>
      </c>
      <c r="KE8" s="34">
        <v>0.000493</v>
      </c>
      <c r="KF8" s="34">
        <v>0.000493</v>
      </c>
      <c r="KG8" s="34">
        <v>0.000508</v>
      </c>
      <c r="KH8" s="34">
        <v>0.000494</v>
      </c>
      <c r="KI8" s="34"/>
      <c r="KJ8" s="34"/>
      <c r="KK8" s="34"/>
      <c r="KL8" s="34"/>
      <c r="KM8" s="34"/>
      <c r="KN8" s="34"/>
      <c r="KO8" s="34"/>
      <c r="KP8" s="36" t="str">
        <v>宁夏</v>
      </c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4" t="str">
        <v>新疆</v>
      </c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6" t="str">
        <v>重庆</v>
      </c>
      <c r="LQ8" s="36">
        <v>0.012495</v>
      </c>
      <c r="LR8" s="36">
        <v>0.02024</v>
      </c>
      <c r="LS8" s="36">
        <v>0.020023</v>
      </c>
      <c r="LT8" s="36">
        <v>0.016309</v>
      </c>
      <c r="LU8" s="36">
        <v>0.016945</v>
      </c>
      <c r="LV8" s="36"/>
      <c r="LW8" s="36"/>
      <c r="LX8" s="36"/>
      <c r="LY8" s="36"/>
      <c r="LZ8" s="36"/>
      <c r="MA8" s="36"/>
      <c r="MB8" s="36"/>
      <c r="MC8" s="34" t="str">
        <v>四川</v>
      </c>
      <c r="MD8" s="34">
        <v>0.009838</v>
      </c>
      <c r="ME8" s="34">
        <v>0.018334</v>
      </c>
      <c r="MF8" s="34">
        <v>0.012783</v>
      </c>
      <c r="MG8" s="34">
        <v>0.009295</v>
      </c>
      <c r="MH8" s="34">
        <v>0.00731</v>
      </c>
      <c r="MI8" s="34"/>
      <c r="MJ8" s="34"/>
      <c r="MK8" s="34"/>
      <c r="ML8" s="34"/>
      <c r="MM8" s="34"/>
      <c r="MN8" s="34"/>
      <c r="MO8" s="34"/>
      <c r="MP8" s="36" t="str">
        <v>广东</v>
      </c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4" t="str">
        <v>广西</v>
      </c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6" t="str">
        <v>云南</v>
      </c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4" t="str">
        <v>贵州</v>
      </c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6" t="str">
        <v>海南</v>
      </c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</row>
    <row customHeight="true" ht="19" r="9">
      <c r="A9" s="34">
        <v>8</v>
      </c>
      <c r="B9" s="39" t="str">
        <v>（7）水电合约价差损益折合度电水平</v>
      </c>
      <c r="C9" s="34" t="str">
        <v>北京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6" t="str">
        <v>天津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4" t="str">
        <v>河北南网</v>
      </c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6" t="str">
        <v>冀北</v>
      </c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4" t="str">
        <v>山东</v>
      </c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6" t="str">
        <v>山西</v>
      </c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4" t="str">
        <v>蒙西</v>
      </c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6" t="str">
        <v>上海</v>
      </c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4" t="str">
        <v>江苏</v>
      </c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6" t="str">
        <v>浙江</v>
      </c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4" t="str">
        <v>安徽</v>
      </c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6" t="str">
        <v>福建</v>
      </c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4" t="str">
        <v>湖北</v>
      </c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6" t="str">
        <v>河南</v>
      </c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4" t="str">
        <v>湖南</v>
      </c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6" t="str">
        <v>江西</v>
      </c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4" t="str">
        <v>辽宁</v>
      </c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6" t="str">
        <v>吉林</v>
      </c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4" t="str">
        <v>黑龙江</v>
      </c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6" t="str">
        <v>蒙东</v>
      </c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4" t="str">
        <v>陕西</v>
      </c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6" t="str">
        <v>甘肃</v>
      </c>
      <c r="JQ9" s="36">
        <v>0.000646</v>
      </c>
      <c r="JR9" s="36">
        <v>0.000997</v>
      </c>
      <c r="JS9" s="36">
        <v>-0.005008</v>
      </c>
      <c r="JT9" s="36">
        <v>0.003989</v>
      </c>
      <c r="JU9" s="36">
        <v>0.00021</v>
      </c>
      <c r="JV9" s="36"/>
      <c r="JW9" s="36"/>
      <c r="JX9" s="36"/>
      <c r="JY9" s="36"/>
      <c r="JZ9" s="36"/>
      <c r="KA9" s="36"/>
      <c r="KB9" s="36"/>
      <c r="KC9" s="34" t="str">
        <v>青海</v>
      </c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6" t="str">
        <v>宁夏</v>
      </c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4" t="str">
        <v>新疆</v>
      </c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6" t="str">
        <v>重庆</v>
      </c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4" t="str">
        <v>四川</v>
      </c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6" t="str">
        <v>广东</v>
      </c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4" t="str">
        <v>广西</v>
      </c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6" t="str">
        <v>云南</v>
      </c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4" t="str">
        <v>贵州</v>
      </c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6" t="str">
        <v>海南</v>
      </c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</row>
    <row customHeight="true" ht="19" r="10">
      <c r="A10" s="34">
        <v>9</v>
      </c>
      <c r="B10" s="39" t="str">
        <v>（8）独立储能容量电费折合度电水平</v>
      </c>
      <c r="C10" s="34" t="str">
        <v>北京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6" t="str">
        <v>天津</v>
      </c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4" t="str">
        <v>河北南网</v>
      </c>
      <c r="AD10" s="34">
        <v>0.000352</v>
      </c>
      <c r="AE10" s="34">
        <v>0.000591</v>
      </c>
      <c r="AF10" s="34">
        <v>0.001106</v>
      </c>
      <c r="AG10" s="34">
        <v>0.001085</v>
      </c>
      <c r="AH10" s="34">
        <v>0.001191</v>
      </c>
      <c r="AI10" s="34"/>
      <c r="AJ10" s="34"/>
      <c r="AK10" s="34"/>
      <c r="AL10" s="34"/>
      <c r="AM10" s="34"/>
      <c r="AN10" s="34"/>
      <c r="AO10" s="34"/>
      <c r="AP10" s="36" t="str">
        <v>冀北</v>
      </c>
      <c r="AQ10" s="36">
        <v>0</v>
      </c>
      <c r="AR10" s="36">
        <v>0</v>
      </c>
      <c r="AS10" s="36">
        <v>0</v>
      </c>
      <c r="AT10" s="36">
        <v>0</v>
      </c>
      <c r="AU10" s="36">
        <v>0</v>
      </c>
      <c r="AV10" s="36"/>
      <c r="AW10" s="36"/>
      <c r="AX10" s="36"/>
      <c r="AY10" s="36"/>
      <c r="AZ10" s="36"/>
      <c r="BA10" s="36"/>
      <c r="BB10" s="36"/>
      <c r="BC10" s="34" t="str">
        <v>山东</v>
      </c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6" t="str">
        <v>山西</v>
      </c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4" t="str">
        <v>蒙西</v>
      </c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6" t="str">
        <v>上海</v>
      </c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4" t="str">
        <v>江苏</v>
      </c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6" t="str">
        <v>浙江</v>
      </c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4" t="str">
        <v>安徽</v>
      </c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6" t="str">
        <v>福建</v>
      </c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4" t="str">
        <v>湖北</v>
      </c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6" t="str">
        <v>河南</v>
      </c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4" t="str">
        <v>湖南</v>
      </c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6" t="str">
        <v>江西</v>
      </c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4" t="str">
        <v>辽宁</v>
      </c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6" t="str">
        <v>吉林</v>
      </c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4" t="str">
        <v>黑龙江</v>
      </c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6" t="str">
        <v>蒙东</v>
      </c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4" t="str">
        <v>陕西</v>
      </c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6" t="str">
        <v>甘肃</v>
      </c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4" t="str">
        <v>青海</v>
      </c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6" t="str">
        <v>宁夏</v>
      </c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4" t="str">
        <v>新疆</v>
      </c>
      <c r="LD10" s="34">
        <v>0.002985</v>
      </c>
      <c r="LE10" s="34">
        <v>0.003531</v>
      </c>
      <c r="LF10" s="34">
        <v>0</v>
      </c>
      <c r="LG10" s="34">
        <v>0.000551</v>
      </c>
      <c r="LH10" s="34">
        <v>0.000003</v>
      </c>
      <c r="LI10" s="34"/>
      <c r="LJ10" s="34"/>
      <c r="LK10" s="34"/>
      <c r="LL10" s="34"/>
      <c r="LM10" s="34"/>
      <c r="LN10" s="34"/>
      <c r="LO10" s="34"/>
      <c r="LP10" s="36" t="str">
        <v>重庆</v>
      </c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4" t="str">
        <v>四川</v>
      </c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6" t="str">
        <v>广东</v>
      </c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4" t="str">
        <v>广西</v>
      </c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6" t="str">
        <v>云南</v>
      </c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4" t="str">
        <v>贵州</v>
      </c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6" t="str">
        <v>海南</v>
      </c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</row>
    <row customHeight="true" ht="19" r="11">
      <c r="A11" s="34">
        <v>10</v>
      </c>
      <c r="B11" s="39" t="str">
        <v>（9）容量补偿电价峰谷损益折合度电水平</v>
      </c>
      <c r="C11" s="34" t="str">
        <v>北京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6" t="str">
        <v>天津</v>
      </c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4" t="str">
        <v>河北南网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6" t="str">
        <v>冀北</v>
      </c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4" t="str">
        <v>山东</v>
      </c>
      <c r="BD11" s="34">
        <v>0.0028</v>
      </c>
      <c r="BE11" s="34">
        <v>0.0067</v>
      </c>
      <c r="BF11" s="34">
        <v>0.0057</v>
      </c>
      <c r="BG11" s="34">
        <v>0.0049</v>
      </c>
      <c r="BH11" s="34">
        <v>0.0047</v>
      </c>
      <c r="BI11" s="34"/>
      <c r="BJ11" s="34"/>
      <c r="BK11" s="34"/>
      <c r="BL11" s="34"/>
      <c r="BM11" s="34"/>
      <c r="BN11" s="34"/>
      <c r="BO11" s="34"/>
      <c r="BP11" s="36" t="str">
        <v>山西</v>
      </c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4" t="str">
        <v>蒙西</v>
      </c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6" t="str">
        <v>上海</v>
      </c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4" t="str">
        <v>江苏</v>
      </c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6" t="str">
        <v>浙江</v>
      </c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4" t="str">
        <v>安徽</v>
      </c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6" t="str">
        <v>福建</v>
      </c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4" t="str">
        <v>湖北</v>
      </c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6" t="str">
        <v>河南</v>
      </c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4" t="str">
        <v>湖南</v>
      </c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6" t="str">
        <v>江西</v>
      </c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4" t="str">
        <v>辽宁</v>
      </c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6" t="str">
        <v>吉林</v>
      </c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4" t="str">
        <v>黑龙江</v>
      </c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6" t="str">
        <v>蒙东</v>
      </c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4" t="str">
        <v>陕西</v>
      </c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6" t="str">
        <v>甘肃</v>
      </c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4" t="str">
        <v>青海</v>
      </c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6" t="str">
        <v>宁夏</v>
      </c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4" t="str">
        <v>新疆</v>
      </c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6" t="str">
        <v>重庆</v>
      </c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4" t="str">
        <v>四川</v>
      </c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6" t="str">
        <v>广东</v>
      </c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4" t="str">
        <v>广西</v>
      </c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6" t="str">
        <v>云南</v>
      </c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4" t="str">
        <v>贵州</v>
      </c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6" t="str">
        <v>海南</v>
      </c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</row>
    <row customHeight="true" ht="19" r="12">
      <c r="A12" s="34">
        <v>11</v>
      </c>
      <c r="B12" s="39" t="str">
        <v>（10）工商业峰谷分时损益折合度电水平</v>
      </c>
      <c r="C12" s="34" t="str">
        <v>北京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6" t="str">
        <v>天津</v>
      </c>
      <c r="Q12" s="36">
        <v>-0.013407</v>
      </c>
      <c r="R12" s="36">
        <v>-0.025522</v>
      </c>
      <c r="S12" s="36">
        <v>-0.008463</v>
      </c>
      <c r="T12" s="36">
        <v>-0.001186</v>
      </c>
      <c r="U12" s="36">
        <v>-0.00866</v>
      </c>
      <c r="V12" s="36"/>
      <c r="W12" s="36"/>
      <c r="X12" s="36"/>
      <c r="Y12" s="36"/>
      <c r="Z12" s="36"/>
      <c r="AA12" s="36"/>
      <c r="AB12" s="36"/>
      <c r="AC12" s="34" t="str">
        <v>河北南网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6" t="str">
        <v>冀北</v>
      </c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4" t="str">
        <v>山东</v>
      </c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6" t="str">
        <v>山西</v>
      </c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4" t="str">
        <v>蒙西</v>
      </c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6" t="str">
        <v>上海</v>
      </c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4" t="str">
        <v>江苏</v>
      </c>
      <c r="DD12" s="34">
        <v>-0.0038</v>
      </c>
      <c r="DE12" s="34">
        <v>-0.0036</v>
      </c>
      <c r="DF12" s="34">
        <v>-0.0028</v>
      </c>
      <c r="DG12" s="34">
        <v>0.0005</v>
      </c>
      <c r="DH12" s="34">
        <v>0.0021</v>
      </c>
      <c r="DI12" s="34"/>
      <c r="DJ12" s="34"/>
      <c r="DK12" s="34"/>
      <c r="DL12" s="34"/>
      <c r="DM12" s="34"/>
      <c r="DN12" s="34"/>
      <c r="DO12" s="34"/>
      <c r="DP12" s="36" t="str">
        <v>浙江</v>
      </c>
      <c r="DQ12" s="36">
        <v>0</v>
      </c>
      <c r="DR12" s="36">
        <v>0.08896</v>
      </c>
      <c r="DS12" s="36">
        <v>0</v>
      </c>
      <c r="DT12" s="36">
        <v>0</v>
      </c>
      <c r="DU12" s="36">
        <v>0</v>
      </c>
      <c r="DV12" s="36"/>
      <c r="DW12" s="36"/>
      <c r="DX12" s="36"/>
      <c r="DY12" s="36"/>
      <c r="DZ12" s="36"/>
      <c r="EA12" s="36"/>
      <c r="EB12" s="36"/>
      <c r="EC12" s="34" t="str">
        <v>安徽</v>
      </c>
      <c r="ED12" s="34">
        <v>0.015</v>
      </c>
      <c r="EE12" s="34">
        <v>0.004</v>
      </c>
      <c r="EF12" s="34">
        <v>-0.0063</v>
      </c>
      <c r="EG12" s="34">
        <v>-0.0011</v>
      </c>
      <c r="EH12" s="34">
        <v>0.025</v>
      </c>
      <c r="EI12" s="34"/>
      <c r="EJ12" s="34"/>
      <c r="EK12" s="34"/>
      <c r="EL12" s="34"/>
      <c r="EM12" s="34"/>
      <c r="EN12" s="34"/>
      <c r="EO12" s="34"/>
      <c r="EP12" s="36" t="str">
        <v>福建</v>
      </c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4" t="str">
        <v>湖北</v>
      </c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6" t="str">
        <v>河南</v>
      </c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4" t="str">
        <v>湖南</v>
      </c>
      <c r="GD12" s="34">
        <v>-0.006572</v>
      </c>
      <c r="GE12" s="34">
        <v>0.001622</v>
      </c>
      <c r="GF12" s="34">
        <v>0.020775</v>
      </c>
      <c r="GG12" s="34">
        <v>0.019403</v>
      </c>
      <c r="GH12" s="34">
        <v>-0.002431</v>
      </c>
      <c r="GI12" s="34"/>
      <c r="GJ12" s="34"/>
      <c r="GK12" s="34"/>
      <c r="GL12" s="34"/>
      <c r="GM12" s="34"/>
      <c r="GN12" s="34"/>
      <c r="GO12" s="34"/>
      <c r="GP12" s="36" t="str">
        <v>江西</v>
      </c>
      <c r="GQ12" s="36">
        <v>-0.015777</v>
      </c>
      <c r="GR12" s="36">
        <v>-0.052576</v>
      </c>
      <c r="GS12" s="36">
        <v>-0.020777</v>
      </c>
      <c r="GT12" s="36">
        <v>-0.007881</v>
      </c>
      <c r="GU12" s="36">
        <v>-0.01505</v>
      </c>
      <c r="GV12" s="36"/>
      <c r="GW12" s="36"/>
      <c r="GX12" s="36"/>
      <c r="GY12" s="36"/>
      <c r="GZ12" s="36"/>
      <c r="HA12" s="36"/>
      <c r="HB12" s="36"/>
      <c r="HC12" s="34" t="str">
        <v>辽宁</v>
      </c>
      <c r="HD12" s="34">
        <v>0.001325</v>
      </c>
      <c r="HE12" s="34">
        <v>0.001847</v>
      </c>
      <c r="HF12" s="34">
        <v>0.002013</v>
      </c>
      <c r="HG12" s="34">
        <v>0.001588</v>
      </c>
      <c r="HH12" s="34">
        <v>0.001163</v>
      </c>
      <c r="HI12" s="34"/>
      <c r="HJ12" s="34"/>
      <c r="HK12" s="34"/>
      <c r="HL12" s="34"/>
      <c r="HM12" s="34"/>
      <c r="HN12" s="34"/>
      <c r="HO12" s="34"/>
      <c r="HP12" s="36" t="str">
        <v>吉林</v>
      </c>
      <c r="HQ12" s="36">
        <v>0.001591</v>
      </c>
      <c r="HR12" s="36">
        <v>0.002885</v>
      </c>
      <c r="HS12" s="36">
        <v>0.002398</v>
      </c>
      <c r="HT12" s="36">
        <v>0.002368</v>
      </c>
      <c r="HU12" s="36">
        <v>0.001475</v>
      </c>
      <c r="HV12" s="36"/>
      <c r="HW12" s="36"/>
      <c r="HX12" s="36"/>
      <c r="HY12" s="36"/>
      <c r="HZ12" s="36"/>
      <c r="IA12" s="36"/>
      <c r="IB12" s="36"/>
      <c r="IC12" s="34" t="str">
        <v>黑龙江</v>
      </c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6" t="str">
        <v>蒙东</v>
      </c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4" t="str">
        <v>陕西</v>
      </c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6" t="str">
        <v>甘肃</v>
      </c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4" t="str">
        <v>青海</v>
      </c>
      <c r="KD12" s="34">
        <v>0.001453</v>
      </c>
      <c r="KE12" s="34">
        <v>0.012893</v>
      </c>
      <c r="KF12" s="34">
        <v>0.010392</v>
      </c>
      <c r="KG12" s="34">
        <v>0.024726</v>
      </c>
      <c r="KH12" s="34">
        <v>0.008186</v>
      </c>
      <c r="KI12" s="34"/>
      <c r="KJ12" s="34"/>
      <c r="KK12" s="34"/>
      <c r="KL12" s="34"/>
      <c r="KM12" s="34"/>
      <c r="KN12" s="34"/>
      <c r="KO12" s="34"/>
      <c r="KP12" s="36" t="str">
        <v>宁夏</v>
      </c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4" t="str">
        <v>新疆</v>
      </c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6" t="str">
        <v>重庆</v>
      </c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4" t="str">
        <v>四川</v>
      </c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6" t="str">
        <v>广东</v>
      </c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4" t="str">
        <v>广西</v>
      </c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6" t="str">
        <v>云南</v>
      </c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4" t="str">
        <v>贵州</v>
      </c>
      <c r="OD12" s="34"/>
      <c r="OE12" s="34">
        <v>0.026611</v>
      </c>
      <c r="OF12" s="34">
        <v>0.015694</v>
      </c>
      <c r="OG12" s="34">
        <v>0.018086</v>
      </c>
      <c r="OH12" s="34">
        <v>0.004145</v>
      </c>
      <c r="OI12" s="34"/>
      <c r="OJ12" s="34"/>
      <c r="OK12" s="34"/>
      <c r="OL12" s="34"/>
      <c r="OM12" s="34"/>
      <c r="ON12" s="34"/>
      <c r="OO12" s="34"/>
      <c r="OP12" s="36" t="str">
        <v>海南</v>
      </c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</row>
    <row customHeight="true" ht="19" r="13">
      <c r="A13" s="34">
        <v>12</v>
      </c>
      <c r="B13" s="39" t="str">
        <v>（11）功率因数调整电费损益折合度电水平</v>
      </c>
      <c r="C13" s="34" t="str">
        <v>北京</v>
      </c>
      <c r="D13" s="34">
        <v>0.006437</v>
      </c>
      <c r="E13" s="34">
        <v>0.006901</v>
      </c>
      <c r="F13" s="34">
        <v>0.006796</v>
      </c>
      <c r="G13" s="34">
        <v>0.006411</v>
      </c>
      <c r="H13" s="34">
        <v>0.006326</v>
      </c>
      <c r="I13" s="34"/>
      <c r="J13" s="34"/>
      <c r="K13" s="34"/>
      <c r="L13" s="34"/>
      <c r="M13" s="34"/>
      <c r="N13" s="34"/>
      <c r="O13" s="34"/>
      <c r="P13" s="36" t="str">
        <v>天津</v>
      </c>
      <c r="Q13" s="36">
        <v>0.00407</v>
      </c>
      <c r="R13" s="36">
        <v>0.004699</v>
      </c>
      <c r="S13" s="36">
        <v>0.004338</v>
      </c>
      <c r="T13" s="36">
        <v>0.001654</v>
      </c>
      <c r="U13" s="36">
        <v>0.002356</v>
      </c>
      <c r="V13" s="36"/>
      <c r="W13" s="36"/>
      <c r="X13" s="36"/>
      <c r="Y13" s="36"/>
      <c r="Z13" s="36"/>
      <c r="AA13" s="36"/>
      <c r="AB13" s="36"/>
      <c r="AC13" s="34" t="str">
        <v>河北南网</v>
      </c>
      <c r="AD13" s="34">
        <v>0.001521</v>
      </c>
      <c r="AE13" s="34">
        <v>0.002591</v>
      </c>
      <c r="AF13" s="34">
        <v>0.002686</v>
      </c>
      <c r="AG13" s="34">
        <v>-0.000266</v>
      </c>
      <c r="AH13" s="34">
        <v>0.000696</v>
      </c>
      <c r="AI13" s="34"/>
      <c r="AJ13" s="34"/>
      <c r="AK13" s="34"/>
      <c r="AL13" s="34"/>
      <c r="AM13" s="34"/>
      <c r="AN13" s="34"/>
      <c r="AO13" s="34"/>
      <c r="AP13" s="36" t="str">
        <v>冀北</v>
      </c>
      <c r="AQ13" s="36">
        <v>0.002856</v>
      </c>
      <c r="AR13" s="36">
        <v>0.002757</v>
      </c>
      <c r="AS13" s="36">
        <v>0.00272</v>
      </c>
      <c r="AT13" s="36">
        <v>0.001846</v>
      </c>
      <c r="AU13" s="36">
        <v>0.001865</v>
      </c>
      <c r="AV13" s="36"/>
      <c r="AW13" s="36"/>
      <c r="AX13" s="36"/>
      <c r="AY13" s="36"/>
      <c r="AZ13" s="36"/>
      <c r="BA13" s="36"/>
      <c r="BB13" s="36"/>
      <c r="BC13" s="34" t="str">
        <v>山东</v>
      </c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6" t="str">
        <v>山西</v>
      </c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4" t="str">
        <v>蒙西</v>
      </c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6" t="str">
        <v>上海</v>
      </c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4" t="str">
        <v>江苏</v>
      </c>
      <c r="DD13" s="34">
        <v>0.0037</v>
      </c>
      <c r="DE13" s="34">
        <v>0.0035</v>
      </c>
      <c r="DF13" s="34">
        <v>0.0032</v>
      </c>
      <c r="DG13" s="34">
        <v>0.0024</v>
      </c>
      <c r="DH13" s="34">
        <v>0.0026</v>
      </c>
      <c r="DI13" s="34"/>
      <c r="DJ13" s="34"/>
      <c r="DK13" s="34"/>
      <c r="DL13" s="34"/>
      <c r="DM13" s="34"/>
      <c r="DN13" s="34"/>
      <c r="DO13" s="34"/>
      <c r="DP13" s="36" t="str">
        <v>浙江</v>
      </c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4" t="str">
        <v>安徽</v>
      </c>
      <c r="ED13" s="34">
        <v>0.0013</v>
      </c>
      <c r="EE13" s="34">
        <v>0.0033</v>
      </c>
      <c r="EF13" s="34">
        <v>0.0026</v>
      </c>
      <c r="EG13" s="34">
        <v>0.0007</v>
      </c>
      <c r="EH13" s="34">
        <v>0.0022</v>
      </c>
      <c r="EI13" s="34"/>
      <c r="EJ13" s="34"/>
      <c r="EK13" s="34"/>
      <c r="EL13" s="34"/>
      <c r="EM13" s="34"/>
      <c r="EN13" s="34"/>
      <c r="EO13" s="34"/>
      <c r="EP13" s="36" t="str">
        <v>福建</v>
      </c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4" t="str">
        <v>湖北</v>
      </c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6" t="str">
        <v>河南</v>
      </c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4" t="str">
        <v>湖南</v>
      </c>
      <c r="GD13" s="34">
        <v>0.002915</v>
      </c>
      <c r="GE13" s="34">
        <v>0.003501</v>
      </c>
      <c r="GF13" s="34">
        <v>0.001911</v>
      </c>
      <c r="GG13" s="34">
        <v>0.001243</v>
      </c>
      <c r="GH13" s="34">
        <v>0.002842</v>
      </c>
      <c r="GI13" s="34"/>
      <c r="GJ13" s="34"/>
      <c r="GK13" s="34"/>
      <c r="GL13" s="34"/>
      <c r="GM13" s="34"/>
      <c r="GN13" s="34"/>
      <c r="GO13" s="34"/>
      <c r="GP13" s="36" t="str">
        <v>江西</v>
      </c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4" t="str">
        <v>辽宁</v>
      </c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6" t="str">
        <v>吉林</v>
      </c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4" t="str">
        <v>黑龙江</v>
      </c>
      <c r="ID13" s="34"/>
      <c r="IE13" s="34"/>
      <c r="IF13" s="34"/>
      <c r="IG13" s="34">
        <v>0</v>
      </c>
      <c r="IH13" s="34">
        <v>0</v>
      </c>
      <c r="II13" s="34"/>
      <c r="IJ13" s="34"/>
      <c r="IK13" s="34"/>
      <c r="IL13" s="34"/>
      <c r="IM13" s="34"/>
      <c r="IN13" s="34"/>
      <c r="IO13" s="34"/>
      <c r="IP13" s="36" t="str">
        <v>蒙东</v>
      </c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4" t="str">
        <v>陕西</v>
      </c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6" t="str">
        <v>甘肃</v>
      </c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4" t="str">
        <v>青海</v>
      </c>
      <c r="KD13" s="34">
        <v>0.002318</v>
      </c>
      <c r="KE13" s="34">
        <v>0.002654</v>
      </c>
      <c r="KF13" s="34">
        <v>0.002139</v>
      </c>
      <c r="KG13" s="34">
        <v>0.002189</v>
      </c>
      <c r="KH13" s="34">
        <v>0.002012</v>
      </c>
      <c r="KI13" s="34"/>
      <c r="KJ13" s="34"/>
      <c r="KK13" s="34"/>
      <c r="KL13" s="34"/>
      <c r="KM13" s="34"/>
      <c r="KN13" s="34"/>
      <c r="KO13" s="34"/>
      <c r="KP13" s="36" t="str">
        <v>宁夏</v>
      </c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4" t="str">
        <v>新疆</v>
      </c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6" t="str">
        <v>重庆</v>
      </c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4" t="str">
        <v>四川</v>
      </c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6" t="str">
        <v>广东</v>
      </c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4" t="str">
        <v>广西</v>
      </c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6" t="str">
        <v>云南</v>
      </c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4" t="str">
        <v>贵州</v>
      </c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6" t="str">
        <v>海南</v>
      </c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</row>
    <row customHeight="true" ht="19" r="14">
      <c r="A14" s="34">
        <v>13</v>
      </c>
      <c r="B14" s="39" t="str">
        <v>（12）新能源可持续发展价格结算机制差价结算费用折合度电水平</v>
      </c>
      <c r="C14" s="34" t="str">
        <v>北京</v>
      </c>
      <c r="D14" s="34">
        <v>0</v>
      </c>
      <c r="E14" s="34">
        <v>0</v>
      </c>
      <c r="F14" s="34">
        <v>-0.000181</v>
      </c>
      <c r="G14" s="34">
        <v>-0.000274</v>
      </c>
      <c r="H14" s="34">
        <v>-0.000193</v>
      </c>
      <c r="I14" s="34"/>
      <c r="J14" s="34"/>
      <c r="K14" s="34"/>
      <c r="L14" s="34"/>
      <c r="M14" s="34"/>
      <c r="N14" s="34"/>
      <c r="O14" s="34"/>
      <c r="P14" s="36" t="str">
        <v>天津</v>
      </c>
      <c r="Q14" s="36">
        <v>-0.001684</v>
      </c>
      <c r="R14" s="36">
        <v>-0.002255</v>
      </c>
      <c r="S14" s="36">
        <v>-0.002541</v>
      </c>
      <c r="T14" s="36">
        <v>-0.002936</v>
      </c>
      <c r="U14" s="36">
        <v>-0.002527</v>
      </c>
      <c r="V14" s="36"/>
      <c r="W14" s="36"/>
      <c r="X14" s="36"/>
      <c r="Y14" s="36"/>
      <c r="Z14" s="36"/>
      <c r="AA14" s="36"/>
      <c r="AB14" s="36"/>
      <c r="AC14" s="34" t="str">
        <v>河北南网</v>
      </c>
      <c r="AD14" s="34">
        <v>0.010742</v>
      </c>
      <c r="AE14" s="34">
        <v>0.014774</v>
      </c>
      <c r="AF14" s="34">
        <v>0.017237</v>
      </c>
      <c r="AG14" s="34">
        <v>0.058523</v>
      </c>
      <c r="AH14" s="34">
        <v>0.032584</v>
      </c>
      <c r="AI14" s="34"/>
      <c r="AJ14" s="34"/>
      <c r="AK14" s="34"/>
      <c r="AL14" s="34"/>
      <c r="AM14" s="34"/>
      <c r="AN14" s="34"/>
      <c r="AO14" s="34"/>
      <c r="AP14" s="36" t="str">
        <v>冀北</v>
      </c>
      <c r="AQ14" s="36">
        <v>-0.005183</v>
      </c>
      <c r="AR14" s="36">
        <v>-0.004163</v>
      </c>
      <c r="AS14" s="36">
        <v>-0.004757</v>
      </c>
      <c r="AT14" s="36">
        <v>-0.005363</v>
      </c>
      <c r="AU14" s="36">
        <v>-0.003425</v>
      </c>
      <c r="AV14" s="36"/>
      <c r="AW14" s="36"/>
      <c r="AX14" s="36"/>
      <c r="AY14" s="36"/>
      <c r="AZ14" s="36"/>
      <c r="BA14" s="36"/>
      <c r="BB14" s="36"/>
      <c r="BC14" s="34" t="str">
        <v>山东</v>
      </c>
      <c r="BD14" s="34">
        <v>0.0576</v>
      </c>
      <c r="BE14" s="34">
        <v>0.0573</v>
      </c>
      <c r="BF14" s="34">
        <v>0.0741</v>
      </c>
      <c r="BG14" s="34">
        <v>0.0998</v>
      </c>
      <c r="BH14" s="34">
        <v>0.0621</v>
      </c>
      <c r="BI14" s="34"/>
      <c r="BJ14" s="34"/>
      <c r="BK14" s="34"/>
      <c r="BL14" s="34"/>
      <c r="BM14" s="34"/>
      <c r="BN14" s="34"/>
      <c r="BO14" s="34"/>
      <c r="BP14" s="36" t="str">
        <v>山西</v>
      </c>
      <c r="BQ14" s="36">
        <v>0.034314</v>
      </c>
      <c r="BR14" s="36">
        <v>0.042364</v>
      </c>
      <c r="BS14" s="36">
        <v>0.052479</v>
      </c>
      <c r="BT14" s="36">
        <v>0.051744</v>
      </c>
      <c r="BU14" s="36">
        <v>0.051123</v>
      </c>
      <c r="BV14" s="36"/>
      <c r="BW14" s="36"/>
      <c r="BX14" s="36"/>
      <c r="BY14" s="36"/>
      <c r="BZ14" s="36"/>
      <c r="CA14" s="36"/>
      <c r="CB14" s="36"/>
      <c r="CC14" s="34" t="str">
        <v>蒙西</v>
      </c>
      <c r="CD14" s="34">
        <v>0.0182</v>
      </c>
      <c r="CE14" s="34">
        <v>0.0138</v>
      </c>
      <c r="CF14" s="34">
        <v>0.0045</v>
      </c>
      <c r="CG14" s="34">
        <v>0.0186</v>
      </c>
      <c r="CH14" s="34">
        <v>0.0135</v>
      </c>
      <c r="CI14" s="34"/>
      <c r="CJ14" s="34"/>
      <c r="CK14" s="34"/>
      <c r="CL14" s="34"/>
      <c r="CM14" s="34"/>
      <c r="CN14" s="34"/>
      <c r="CO14" s="34"/>
      <c r="CP14" s="36" t="str">
        <v>上海</v>
      </c>
      <c r="CQ14" s="36">
        <v>-0.0039</v>
      </c>
      <c r="CR14" s="36">
        <v>-0.001105</v>
      </c>
      <c r="CS14" s="36">
        <v>0.000525</v>
      </c>
      <c r="CT14" s="36">
        <v>0.003399</v>
      </c>
      <c r="CU14" s="36">
        <v>-0.000777</v>
      </c>
      <c r="CV14" s="36"/>
      <c r="CW14" s="36"/>
      <c r="CX14" s="36"/>
      <c r="CY14" s="36"/>
      <c r="CZ14" s="36"/>
      <c r="DA14" s="36"/>
      <c r="DB14" s="36"/>
      <c r="DC14" s="34" t="str">
        <v>江苏</v>
      </c>
      <c r="DD14" s="34">
        <v>0.0118</v>
      </c>
      <c r="DE14" s="34">
        <v>0.0194</v>
      </c>
      <c r="DF14" s="34">
        <v>0.0186</v>
      </c>
      <c r="DG14" s="34">
        <v>0.023</v>
      </c>
      <c r="DH14" s="34">
        <v>0.0188</v>
      </c>
      <c r="DI14" s="34"/>
      <c r="DJ14" s="34"/>
      <c r="DK14" s="34"/>
      <c r="DL14" s="34"/>
      <c r="DM14" s="34"/>
      <c r="DN14" s="34"/>
      <c r="DO14" s="34"/>
      <c r="DP14" s="36" t="str">
        <v>浙江</v>
      </c>
      <c r="DQ14" s="36">
        <v>0.00608</v>
      </c>
      <c r="DR14" s="36">
        <v>0.010397</v>
      </c>
      <c r="DS14" s="36">
        <v>0.00548</v>
      </c>
      <c r="DT14" s="36">
        <v>0.021616</v>
      </c>
      <c r="DU14" s="36">
        <v>0.025542</v>
      </c>
      <c r="DV14" s="36"/>
      <c r="DW14" s="36"/>
      <c r="DX14" s="36"/>
      <c r="DY14" s="36"/>
      <c r="DZ14" s="36"/>
      <c r="EA14" s="36"/>
      <c r="EB14" s="36"/>
      <c r="EC14" s="34" t="str">
        <v>安徽</v>
      </c>
      <c r="ED14" s="34">
        <v>0.0386</v>
      </c>
      <c r="EE14" s="34">
        <v>0.0412</v>
      </c>
      <c r="EF14" s="34">
        <v>0.0166</v>
      </c>
      <c r="EG14" s="34">
        <v>0.0351</v>
      </c>
      <c r="EH14" s="34">
        <v>0.0456</v>
      </c>
      <c r="EI14" s="34"/>
      <c r="EJ14" s="34"/>
      <c r="EK14" s="34"/>
      <c r="EL14" s="34"/>
      <c r="EM14" s="34"/>
      <c r="EN14" s="34"/>
      <c r="EO14" s="34"/>
      <c r="EP14" s="36" t="str">
        <v>福建</v>
      </c>
      <c r="EQ14" s="36">
        <v>0.018401</v>
      </c>
      <c r="ER14" s="36">
        <v>0.01002</v>
      </c>
      <c r="ES14" s="36">
        <v>-0.008233</v>
      </c>
      <c r="ET14" s="36">
        <v>0.007169</v>
      </c>
      <c r="EU14" s="36">
        <v>0.009416</v>
      </c>
      <c r="EV14" s="36"/>
      <c r="EW14" s="36"/>
      <c r="EX14" s="36"/>
      <c r="EY14" s="36"/>
      <c r="EZ14" s="36"/>
      <c r="FA14" s="36"/>
      <c r="FB14" s="36"/>
      <c r="FC14" s="34" t="str">
        <v>湖北</v>
      </c>
      <c r="FD14" s="34">
        <v>0.019244</v>
      </c>
      <c r="FE14" s="34">
        <v>0.027002</v>
      </c>
      <c r="FF14" s="34">
        <v>0.012959</v>
      </c>
      <c r="FG14" s="34">
        <v>0.016481</v>
      </c>
      <c r="FH14" s="34">
        <v>0.019776</v>
      </c>
      <c r="FI14" s="34"/>
      <c r="FJ14" s="34"/>
      <c r="FK14" s="34"/>
      <c r="FL14" s="34"/>
      <c r="FM14" s="34"/>
      <c r="FN14" s="34"/>
      <c r="FO14" s="34"/>
      <c r="FP14" s="36" t="str">
        <v>河南</v>
      </c>
      <c r="FQ14" s="36">
        <v>0.061704</v>
      </c>
      <c r="FR14" s="36">
        <v>0.046172</v>
      </c>
      <c r="FS14" s="36">
        <v>0.049873</v>
      </c>
      <c r="FT14" s="36">
        <v>0.110619</v>
      </c>
      <c r="FU14" s="36">
        <v>0.128481</v>
      </c>
      <c r="FV14" s="36"/>
      <c r="FW14" s="36"/>
      <c r="FX14" s="36"/>
      <c r="FY14" s="36"/>
      <c r="FZ14" s="36"/>
      <c r="GA14" s="36"/>
      <c r="GB14" s="36"/>
      <c r="GC14" s="34" t="str">
        <v>湖南</v>
      </c>
      <c r="GD14" s="34">
        <v>0.008546</v>
      </c>
      <c r="GE14" s="34">
        <v>0.001597</v>
      </c>
      <c r="GF14" s="34">
        <v>-0.004827</v>
      </c>
      <c r="GG14" s="34">
        <v>0.01114</v>
      </c>
      <c r="GH14" s="34">
        <v>0.058751</v>
      </c>
      <c r="GI14" s="34"/>
      <c r="GJ14" s="34"/>
      <c r="GK14" s="34"/>
      <c r="GL14" s="34"/>
      <c r="GM14" s="34"/>
      <c r="GN14" s="34"/>
      <c r="GO14" s="34"/>
      <c r="GP14" s="36" t="str">
        <v>江西</v>
      </c>
      <c r="GQ14" s="36">
        <v>0.044702</v>
      </c>
      <c r="GR14" s="36">
        <v>0.066054</v>
      </c>
      <c r="GS14" s="36">
        <v>0.006637</v>
      </c>
      <c r="GT14" s="36">
        <v>0.022508</v>
      </c>
      <c r="GU14" s="36">
        <v>0.031012</v>
      </c>
      <c r="GV14" s="36"/>
      <c r="GW14" s="36"/>
      <c r="GX14" s="36"/>
      <c r="GY14" s="36"/>
      <c r="GZ14" s="36"/>
      <c r="HA14" s="36"/>
      <c r="HB14" s="36"/>
      <c r="HC14" s="34" t="str">
        <v>辽宁</v>
      </c>
      <c r="HD14" s="34"/>
      <c r="HE14" s="34">
        <v>0.051352</v>
      </c>
      <c r="HF14" s="34">
        <v>0.105189</v>
      </c>
      <c r="HG14" s="34">
        <v>0.051298</v>
      </c>
      <c r="HH14" s="34">
        <v>0.020532</v>
      </c>
      <c r="HI14" s="34"/>
      <c r="HJ14" s="34"/>
      <c r="HK14" s="34"/>
      <c r="HL14" s="34"/>
      <c r="HM14" s="34"/>
      <c r="HN14" s="34"/>
      <c r="HO14" s="34"/>
      <c r="HP14" s="36" t="str">
        <v>吉林</v>
      </c>
      <c r="HQ14" s="36">
        <v>0.017404</v>
      </c>
      <c r="HR14" s="36">
        <v>0.024872</v>
      </c>
      <c r="HS14" s="36">
        <v>0.031945</v>
      </c>
      <c r="HT14" s="36">
        <v>0.046945</v>
      </c>
      <c r="HU14" s="36">
        <v>0.031608</v>
      </c>
      <c r="HV14" s="36"/>
      <c r="HW14" s="36"/>
      <c r="HX14" s="36"/>
      <c r="HY14" s="36"/>
      <c r="HZ14" s="36"/>
      <c r="IA14" s="36"/>
      <c r="IB14" s="36"/>
      <c r="IC14" s="34" t="str">
        <v>黑龙江</v>
      </c>
      <c r="ID14" s="34">
        <v>0.008477</v>
      </c>
      <c r="IE14" s="34">
        <v>0.020078</v>
      </c>
      <c r="IF14" s="34">
        <v>0.028064</v>
      </c>
      <c r="IG14" s="34">
        <v>0.055244</v>
      </c>
      <c r="IH14" s="34">
        <v>0.057071</v>
      </c>
      <c r="II14" s="34"/>
      <c r="IJ14" s="34"/>
      <c r="IK14" s="34"/>
      <c r="IL14" s="34"/>
      <c r="IM14" s="34"/>
      <c r="IN14" s="34"/>
      <c r="IO14" s="34"/>
      <c r="IP14" s="36" t="str">
        <v>蒙东</v>
      </c>
      <c r="IQ14" s="36">
        <v>0.043278</v>
      </c>
      <c r="IR14" s="36">
        <v>0.070214</v>
      </c>
      <c r="IS14" s="36">
        <v>0.077746</v>
      </c>
      <c r="IT14" s="36">
        <v>0.077961</v>
      </c>
      <c r="IU14" s="36">
        <v>0.034284</v>
      </c>
      <c r="IV14" s="36"/>
      <c r="IW14" s="36"/>
      <c r="IX14" s="36"/>
      <c r="IY14" s="36"/>
      <c r="IZ14" s="36"/>
      <c r="JA14" s="36"/>
      <c r="JB14" s="36"/>
      <c r="JC14" s="34" t="str">
        <v>陕西</v>
      </c>
      <c r="JD14" s="34">
        <v>0.0484</v>
      </c>
      <c r="JE14" s="34">
        <v>0.0576</v>
      </c>
      <c r="JF14" s="34">
        <v>0.0507</v>
      </c>
      <c r="JG14" s="34">
        <v>0.0759</v>
      </c>
      <c r="JH14" s="34">
        <v>0.0887</v>
      </c>
      <c r="JI14" s="34"/>
      <c r="JJ14" s="34"/>
      <c r="JK14" s="34"/>
      <c r="JL14" s="34"/>
      <c r="JM14" s="34"/>
      <c r="JN14" s="34"/>
      <c r="JO14" s="34"/>
      <c r="JP14" s="36" t="str">
        <v>甘肃</v>
      </c>
      <c r="JQ14" s="36"/>
      <c r="JR14" s="36"/>
      <c r="JS14" s="36">
        <v>0.000002</v>
      </c>
      <c r="JT14" s="36">
        <v>0.000006</v>
      </c>
      <c r="JU14" s="36">
        <v>0.000025</v>
      </c>
      <c r="JV14" s="36"/>
      <c r="JW14" s="36"/>
      <c r="JX14" s="36"/>
      <c r="JY14" s="36"/>
      <c r="JZ14" s="36"/>
      <c r="KA14" s="36"/>
      <c r="KB14" s="36"/>
      <c r="KC14" s="34" t="str">
        <v>青海</v>
      </c>
      <c r="KD14" s="34"/>
      <c r="KE14" s="34"/>
      <c r="KF14" s="34">
        <v>0.009855</v>
      </c>
      <c r="KG14" s="34">
        <v>0.02331</v>
      </c>
      <c r="KH14" s="34">
        <v>0.027025</v>
      </c>
      <c r="KI14" s="34"/>
      <c r="KJ14" s="34"/>
      <c r="KK14" s="34"/>
      <c r="KL14" s="34"/>
      <c r="KM14" s="34"/>
      <c r="KN14" s="34"/>
      <c r="KO14" s="34"/>
      <c r="KP14" s="36" t="str">
        <v>宁夏</v>
      </c>
      <c r="KQ14" s="36">
        <v>0.0158</v>
      </c>
      <c r="KR14" s="36">
        <v>0.0254</v>
      </c>
      <c r="KS14" s="36">
        <v>0.0279</v>
      </c>
      <c r="KT14" s="36">
        <v>0.0311</v>
      </c>
      <c r="KU14" s="36">
        <v>0.014</v>
      </c>
      <c r="KV14" s="36"/>
      <c r="KW14" s="36"/>
      <c r="KX14" s="36"/>
      <c r="KY14" s="36"/>
      <c r="KZ14" s="36"/>
      <c r="LA14" s="36"/>
      <c r="LB14" s="36"/>
      <c r="LC14" s="34" t="str">
        <v>新疆</v>
      </c>
      <c r="LD14" s="34">
        <v>0.028122</v>
      </c>
      <c r="LE14" s="34">
        <v>0.017461</v>
      </c>
      <c r="LF14" s="34">
        <v>0.022544</v>
      </c>
      <c r="LG14" s="34">
        <v>0.040359</v>
      </c>
      <c r="LH14" s="34">
        <v>0.053398</v>
      </c>
      <c r="LI14" s="34"/>
      <c r="LJ14" s="34"/>
      <c r="LK14" s="34"/>
      <c r="LL14" s="34"/>
      <c r="LM14" s="34"/>
      <c r="LN14" s="34"/>
      <c r="LO14" s="34"/>
      <c r="LP14" s="36" t="str">
        <v>重庆</v>
      </c>
      <c r="LQ14" s="36">
        <v>-0.003797</v>
      </c>
      <c r="LR14" s="36">
        <v>-0.003424</v>
      </c>
      <c r="LS14" s="36">
        <v>0.003453</v>
      </c>
      <c r="LT14" s="36">
        <v>0.005705</v>
      </c>
      <c r="LU14" s="36">
        <v>0.005782</v>
      </c>
      <c r="LV14" s="36"/>
      <c r="LW14" s="36"/>
      <c r="LX14" s="36"/>
      <c r="LY14" s="36"/>
      <c r="LZ14" s="36"/>
      <c r="MA14" s="36"/>
      <c r="MB14" s="36"/>
      <c r="MC14" s="34" t="str">
        <v>四川</v>
      </c>
      <c r="MD14" s="34">
        <v>0.008957</v>
      </c>
      <c r="ME14" s="34">
        <v>0.029609</v>
      </c>
      <c r="MF14" s="34">
        <v>0.011367</v>
      </c>
      <c r="MG14" s="34">
        <v>0.008079</v>
      </c>
      <c r="MH14" s="34">
        <v>0.012254</v>
      </c>
      <c r="MI14" s="34"/>
      <c r="MJ14" s="34"/>
      <c r="MK14" s="34"/>
      <c r="ML14" s="34"/>
      <c r="MM14" s="34"/>
      <c r="MN14" s="34"/>
      <c r="MO14" s="34"/>
      <c r="MP14" s="36" t="str">
        <v>广东</v>
      </c>
      <c r="MQ14" s="36">
        <v>0.0148</v>
      </c>
      <c r="MR14" s="36">
        <v>0.044</v>
      </c>
      <c r="MS14" s="36">
        <v>0.0515</v>
      </c>
      <c r="MT14" s="36">
        <v>0.0354</v>
      </c>
      <c r="MU14" s="36">
        <v>0.015</v>
      </c>
      <c r="MV14" s="36"/>
      <c r="MW14" s="36"/>
      <c r="MX14" s="36"/>
      <c r="MY14" s="36"/>
      <c r="MZ14" s="36"/>
      <c r="NA14" s="36"/>
      <c r="NB14" s="36"/>
      <c r="NC14" s="34" t="str">
        <v>广西</v>
      </c>
      <c r="ND14" s="34">
        <v>0.040482</v>
      </c>
      <c r="NE14" s="34">
        <v>0.064476</v>
      </c>
      <c r="NF14" s="34">
        <v>0.051476</v>
      </c>
      <c r="NG14" s="34">
        <v>0.042569</v>
      </c>
      <c r="NH14" s="34">
        <v>0.034909</v>
      </c>
      <c r="NI14" s="34"/>
      <c r="NJ14" s="34"/>
      <c r="NK14" s="34"/>
      <c r="NL14" s="34"/>
      <c r="NM14" s="34"/>
      <c r="NN14" s="34"/>
      <c r="NO14" s="34"/>
      <c r="NP14" s="36" t="str">
        <v>云南</v>
      </c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4" t="str">
        <v>贵州</v>
      </c>
      <c r="OD14" s="34"/>
      <c r="OE14" s="34">
        <v>0</v>
      </c>
      <c r="OF14" s="34">
        <v>0.003882</v>
      </c>
      <c r="OG14" s="34">
        <v>0.003063</v>
      </c>
      <c r="OH14" s="34">
        <v>-0.006437</v>
      </c>
      <c r="OI14" s="34"/>
      <c r="OJ14" s="34"/>
      <c r="OK14" s="34"/>
      <c r="OL14" s="34"/>
      <c r="OM14" s="34"/>
      <c r="ON14" s="34"/>
      <c r="OO14" s="34"/>
      <c r="OP14" s="36" t="str">
        <v>海南</v>
      </c>
      <c r="OQ14" s="36"/>
      <c r="OR14" s="36"/>
      <c r="OS14" s="36"/>
      <c r="OT14" s="36">
        <v>0.102083</v>
      </c>
      <c r="OU14" s="36">
        <v>0.101683</v>
      </c>
      <c r="OV14" s="36"/>
      <c r="OW14" s="36"/>
      <c r="OX14" s="36"/>
      <c r="OY14" s="36"/>
      <c r="OZ14" s="36"/>
      <c r="PA14" s="36"/>
      <c r="PB14" s="36"/>
    </row>
    <row customHeight="true" ht="19" r="15">
      <c r="A15" s="34">
        <v>14</v>
      </c>
      <c r="B15" s="39" t="str">
        <v>（13）绿电发展价格机制损益折合度电水平</v>
      </c>
      <c r="C15" s="34" t="str">
        <v>北京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6" t="str">
        <v>天津</v>
      </c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4" t="str">
        <v>河北南网</v>
      </c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6" t="str">
        <v>冀北</v>
      </c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4" t="str">
        <v>山东</v>
      </c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6" t="str">
        <v>山西</v>
      </c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4" t="str">
        <v>蒙西</v>
      </c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6" t="str">
        <v>上海</v>
      </c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4" t="str">
        <v>江苏</v>
      </c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6" t="str">
        <v>浙江</v>
      </c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4" t="str">
        <v>安徽</v>
      </c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6" t="str">
        <v>福建</v>
      </c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4" t="str">
        <v>湖北</v>
      </c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6" t="str">
        <v>河南</v>
      </c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4" t="str">
        <v>湖南</v>
      </c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6" t="str">
        <v>江西</v>
      </c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4" t="str">
        <v>辽宁</v>
      </c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6" t="str">
        <v>吉林</v>
      </c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4" t="str">
        <v>黑龙江</v>
      </c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6" t="str">
        <v>蒙东</v>
      </c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4" t="str">
        <v>陕西</v>
      </c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6" t="str">
        <v>甘肃</v>
      </c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4" t="str">
        <v>青海</v>
      </c>
      <c r="KD15" s="34">
        <v>0.002712</v>
      </c>
      <c r="KE15" s="34">
        <v>0.003705</v>
      </c>
      <c r="KF15" s="34">
        <v>0.002669</v>
      </c>
      <c r="KG15" s="34">
        <v>0.002478</v>
      </c>
      <c r="KH15" s="34">
        <v>0.002649</v>
      </c>
      <c r="KI15" s="34"/>
      <c r="KJ15" s="34"/>
      <c r="KK15" s="34"/>
      <c r="KL15" s="34"/>
      <c r="KM15" s="34"/>
      <c r="KN15" s="34"/>
      <c r="KO15" s="34"/>
      <c r="KP15" s="36" t="str">
        <v>宁夏</v>
      </c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4" t="str">
        <v>新疆</v>
      </c>
      <c r="LD15" s="34">
        <v>0</v>
      </c>
      <c r="LE15" s="34">
        <v>0</v>
      </c>
      <c r="LF15" s="34">
        <v>-0.000356</v>
      </c>
      <c r="LG15" s="34">
        <v>0</v>
      </c>
      <c r="LH15" s="34">
        <v>0</v>
      </c>
      <c r="LI15" s="34"/>
      <c r="LJ15" s="34"/>
      <c r="LK15" s="34"/>
      <c r="LL15" s="34"/>
      <c r="LM15" s="34"/>
      <c r="LN15" s="34"/>
      <c r="LO15" s="34"/>
      <c r="LP15" s="36" t="str">
        <v>重庆</v>
      </c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4" t="str">
        <v>四川</v>
      </c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6" t="str">
        <v>广东</v>
      </c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4" t="str">
        <v>广西</v>
      </c>
      <c r="ND15" s="34"/>
      <c r="NE15" s="34"/>
      <c r="NF15" s="34"/>
      <c r="NG15" s="34"/>
      <c r="NH15" s="34"/>
      <c r="NI15" s="34"/>
      <c r="NJ15" s="34"/>
      <c r="NK15" s="34"/>
      <c r="NL15" s="34"/>
      <c r="NM15" s="34"/>
      <c r="NN15" s="34"/>
      <c r="NO15" s="34"/>
      <c r="NP15" s="36" t="str">
        <v>云南</v>
      </c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4" t="str">
        <v>贵州</v>
      </c>
      <c r="OD15" s="34"/>
      <c r="OE15" s="34"/>
      <c r="OF15" s="34"/>
      <c r="OG15" s="34"/>
      <c r="OH15" s="34"/>
      <c r="OI15" s="34"/>
      <c r="OJ15" s="34"/>
      <c r="OK15" s="34"/>
      <c r="OL15" s="34"/>
      <c r="OM15" s="34"/>
      <c r="ON15" s="34"/>
      <c r="OO15" s="34"/>
      <c r="OP15" s="36" t="str">
        <v>海南</v>
      </c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</row>
    <row customHeight="true" ht="19" r="16">
      <c r="A16" s="34">
        <v>15</v>
      </c>
      <c r="B16" s="39" t="str">
        <v>（14）核电机制电价差价结算电费折合度电水平</v>
      </c>
      <c r="C16" s="34" t="str">
        <v>北京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6" t="str">
        <v>天津</v>
      </c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4" t="str">
        <v>河北南网</v>
      </c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6" t="str">
        <v>冀北</v>
      </c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4" t="str">
        <v>山东</v>
      </c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6" t="str">
        <v>山西</v>
      </c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4" t="str">
        <v>蒙西</v>
      </c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6" t="str">
        <v>上海</v>
      </c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4" t="str">
        <v>江苏</v>
      </c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6" t="str">
        <v>浙江</v>
      </c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4" t="str">
        <v>安徽</v>
      </c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6" t="str">
        <v>福建</v>
      </c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4" t="str">
        <v>湖北</v>
      </c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6" t="str">
        <v>河南</v>
      </c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4" t="str">
        <v>湖南</v>
      </c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6" t="str">
        <v>江西</v>
      </c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4" t="str">
        <v>辽宁</v>
      </c>
      <c r="HD16" s="34"/>
      <c r="HE16" s="34"/>
      <c r="HF16" s="34"/>
      <c r="HG16" s="34">
        <v>0.040801</v>
      </c>
      <c r="HH16" s="34">
        <v>0.069389</v>
      </c>
      <c r="HI16" s="34"/>
      <c r="HJ16" s="34"/>
      <c r="HK16" s="34"/>
      <c r="HL16" s="34"/>
      <c r="HM16" s="34"/>
      <c r="HN16" s="34"/>
      <c r="HO16" s="34"/>
      <c r="HP16" s="36" t="str">
        <v>吉林</v>
      </c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4" t="str">
        <v>黑龙江</v>
      </c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6" t="str">
        <v>蒙东</v>
      </c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4" t="str">
        <v>陕西</v>
      </c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6" t="str">
        <v>甘肃</v>
      </c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4" t="str">
        <v>青海</v>
      </c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6" t="str">
        <v>宁夏</v>
      </c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4" t="str">
        <v>新疆</v>
      </c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6" t="str">
        <v>重庆</v>
      </c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4" t="str">
        <v>四川</v>
      </c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6" t="str">
        <v>广东</v>
      </c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4" t="str">
        <v>广西</v>
      </c>
      <c r="ND16" s="34"/>
      <c r="NE16" s="34">
        <v>0.032608</v>
      </c>
      <c r="NF16" s="34">
        <v>0.063234</v>
      </c>
      <c r="NG16" s="34">
        <v>0.026294</v>
      </c>
      <c r="NH16" s="34">
        <v>0.023974</v>
      </c>
      <c r="NI16" s="34"/>
      <c r="NJ16" s="34"/>
      <c r="NK16" s="34"/>
      <c r="NL16" s="34"/>
      <c r="NM16" s="34"/>
      <c r="NN16" s="34"/>
      <c r="NO16" s="34"/>
      <c r="NP16" s="36" t="str">
        <v>云南</v>
      </c>
      <c r="NQ16" s="36"/>
      <c r="NR16" s="36"/>
      <c r="NS16" s="36"/>
      <c r="NT16" s="36"/>
      <c r="NU16" s="36"/>
      <c r="NV16" s="36"/>
      <c r="NW16" s="36"/>
      <c r="NX16" s="36"/>
      <c r="NY16" s="36"/>
      <c r="NZ16" s="36"/>
      <c r="OA16" s="36"/>
      <c r="OB16" s="36"/>
      <c r="OC16" s="34" t="str">
        <v>贵州</v>
      </c>
      <c r="OD16" s="34"/>
      <c r="OE16" s="34"/>
      <c r="OF16" s="34"/>
      <c r="OG16" s="34"/>
      <c r="OH16" s="34"/>
      <c r="OI16" s="34"/>
      <c r="OJ16" s="34"/>
      <c r="OK16" s="34"/>
      <c r="OL16" s="34"/>
      <c r="OM16" s="34"/>
      <c r="ON16" s="34"/>
      <c r="OO16" s="34"/>
      <c r="OP16" s="36" t="str">
        <v>海南</v>
      </c>
      <c r="OQ16" s="36"/>
      <c r="OR16" s="36"/>
      <c r="OS16" s="36"/>
      <c r="OT16" s="36"/>
      <c r="OU16" s="36"/>
      <c r="OV16" s="36"/>
      <c r="OW16" s="36"/>
      <c r="OX16" s="36"/>
      <c r="OY16" s="36"/>
      <c r="OZ16" s="36"/>
      <c r="PA16" s="36"/>
      <c r="PB16" s="36"/>
    </row>
    <row customHeight="true" ht="19" r="17">
      <c r="A17" s="34">
        <v>16</v>
      </c>
      <c r="B17" s="39" t="str">
        <v>（15）趸售电价损益折合度电水平</v>
      </c>
      <c r="C17" s="34" t="str">
        <v>北京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6" t="str">
        <v>天津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4" t="str">
        <v>河北南网</v>
      </c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6" t="str">
        <v>冀北</v>
      </c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4" t="str">
        <v>山东</v>
      </c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6" t="str">
        <v>山西</v>
      </c>
      <c r="BQ17" s="36">
        <v>0.003629</v>
      </c>
      <c r="BR17" s="36">
        <v>0.004136</v>
      </c>
      <c r="BS17" s="36">
        <v>0.003257</v>
      </c>
      <c r="BT17" s="36">
        <v>0.002679</v>
      </c>
      <c r="BU17" s="36">
        <v>0.002026</v>
      </c>
      <c r="BV17" s="36"/>
      <c r="BW17" s="36"/>
      <c r="BX17" s="36"/>
      <c r="BY17" s="36"/>
      <c r="BZ17" s="36"/>
      <c r="CA17" s="36"/>
      <c r="CB17" s="36"/>
      <c r="CC17" s="34" t="str">
        <v>蒙西</v>
      </c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6" t="str">
        <v>上海</v>
      </c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4" t="str">
        <v>江苏</v>
      </c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6" t="str">
        <v>浙江</v>
      </c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4" t="str">
        <v>安徽</v>
      </c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6" t="str">
        <v>福建</v>
      </c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4" t="str">
        <v>湖北</v>
      </c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6" t="str">
        <v>河南</v>
      </c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4" t="str">
        <v>湖南</v>
      </c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6" t="str">
        <v>江西</v>
      </c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4" t="str">
        <v>辽宁</v>
      </c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6" t="str">
        <v>吉林</v>
      </c>
      <c r="HQ17" s="36">
        <v>0.001344</v>
      </c>
      <c r="HR17" s="36">
        <v>0.001659</v>
      </c>
      <c r="HS17" s="36">
        <v>0.000943</v>
      </c>
      <c r="HT17" s="36">
        <v>0.000622</v>
      </c>
      <c r="HU17" s="36">
        <v>0.00038</v>
      </c>
      <c r="HV17" s="36"/>
      <c r="HW17" s="36"/>
      <c r="HX17" s="36"/>
      <c r="HY17" s="36"/>
      <c r="HZ17" s="36"/>
      <c r="IA17" s="36"/>
      <c r="IB17" s="36"/>
      <c r="IC17" s="34" t="str">
        <v>黑龙江</v>
      </c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6" t="str">
        <v>蒙东</v>
      </c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4" t="str">
        <v>陕西</v>
      </c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6" t="str">
        <v>甘肃</v>
      </c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4" t="str">
        <v>青海</v>
      </c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6" t="str">
        <v>宁夏</v>
      </c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4" t="str">
        <v>新疆</v>
      </c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6" t="str">
        <v>重庆</v>
      </c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4" t="str">
        <v>四川</v>
      </c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6" t="str">
        <v>广东</v>
      </c>
      <c r="MQ17" s="36"/>
      <c r="MR17" s="36"/>
      <c r="MS17" s="36"/>
      <c r="MT17" s="36"/>
      <c r="MU17" s="36"/>
      <c r="MV17" s="36"/>
      <c r="MW17" s="36"/>
      <c r="MX17" s="36"/>
      <c r="MY17" s="36"/>
      <c r="MZ17" s="36"/>
      <c r="NA17" s="36"/>
      <c r="NB17" s="36"/>
      <c r="NC17" s="34" t="str">
        <v>广西</v>
      </c>
      <c r="ND17" s="34"/>
      <c r="NE17" s="34"/>
      <c r="NF17" s="34"/>
      <c r="NG17" s="34"/>
      <c r="NH17" s="34"/>
      <c r="NI17" s="34"/>
      <c r="NJ17" s="34"/>
      <c r="NK17" s="34"/>
      <c r="NL17" s="34"/>
      <c r="NM17" s="34"/>
      <c r="NN17" s="34"/>
      <c r="NO17" s="34"/>
      <c r="NP17" s="36" t="str">
        <v>云南</v>
      </c>
      <c r="NQ17" s="36"/>
      <c r="NR17" s="36"/>
      <c r="NS17" s="36"/>
      <c r="NT17" s="36"/>
      <c r="NU17" s="36"/>
      <c r="NV17" s="36"/>
      <c r="NW17" s="36"/>
      <c r="NX17" s="36"/>
      <c r="NY17" s="36"/>
      <c r="NZ17" s="36"/>
      <c r="OA17" s="36"/>
      <c r="OB17" s="36"/>
      <c r="OC17" s="34" t="str">
        <v>贵州</v>
      </c>
      <c r="OD17" s="34"/>
      <c r="OE17" s="34"/>
      <c r="OF17" s="34"/>
      <c r="OG17" s="34"/>
      <c r="OH17" s="34"/>
      <c r="OI17" s="34"/>
      <c r="OJ17" s="34"/>
      <c r="OK17" s="34"/>
      <c r="OL17" s="34"/>
      <c r="OM17" s="34"/>
      <c r="ON17" s="34"/>
      <c r="OO17" s="34"/>
      <c r="OP17" s="36" t="str">
        <v>海南</v>
      </c>
      <c r="OQ17" s="36"/>
      <c r="OR17" s="36"/>
      <c r="OS17" s="36"/>
      <c r="OT17" s="36"/>
      <c r="OU17" s="36"/>
      <c r="OV17" s="36"/>
      <c r="OW17" s="36"/>
      <c r="OX17" s="36"/>
      <c r="OY17" s="36"/>
      <c r="OZ17" s="36"/>
      <c r="PA17" s="36"/>
      <c r="PB17" s="36"/>
    </row>
    <row customHeight="true" ht="19" r="18">
      <c r="A18" s="34">
        <v>17</v>
      </c>
      <c r="B18" s="39" t="str">
        <v>（16）代理购电价格新增损益折合度电水平</v>
      </c>
      <c r="C18" s="34" t="str">
        <v>北京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6" t="str">
        <v>天津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4" t="str">
        <v>河北南网</v>
      </c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6" t="str">
        <v>冀北</v>
      </c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4" t="str">
        <v>山东</v>
      </c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6" t="str">
        <v>山西</v>
      </c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4" t="str">
        <v>蒙西</v>
      </c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6" t="str">
        <v>上海</v>
      </c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4" t="str">
        <v>江苏</v>
      </c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6" t="str">
        <v>浙江</v>
      </c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4" t="str">
        <v>安徽</v>
      </c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6" t="str">
        <v>福建</v>
      </c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4" t="str">
        <v>湖北</v>
      </c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6" t="str">
        <v>河南</v>
      </c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4" t="str">
        <v>湖南</v>
      </c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6" t="str">
        <v>江西</v>
      </c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4" t="str">
        <v>辽宁</v>
      </c>
      <c r="HD18" s="34"/>
      <c r="HE18" s="34"/>
      <c r="HF18" s="34"/>
      <c r="HG18" s="34"/>
      <c r="HH18" s="34"/>
      <c r="HI18" s="34"/>
      <c r="HJ18" s="34"/>
      <c r="HK18" s="34"/>
      <c r="HL18" s="34"/>
      <c r="HM18" s="34"/>
      <c r="HN18" s="34"/>
      <c r="HO18" s="34"/>
      <c r="HP18" s="36" t="str">
        <v>吉林</v>
      </c>
      <c r="HQ18" s="36">
        <v>0.009948</v>
      </c>
      <c r="HR18" s="36">
        <v>0.018936</v>
      </c>
      <c r="HS18" s="36">
        <v>0.00455</v>
      </c>
      <c r="HT18" s="36">
        <v>-0.005253</v>
      </c>
      <c r="HU18" s="36">
        <v>0.014541</v>
      </c>
      <c r="HV18" s="36"/>
      <c r="HW18" s="36"/>
      <c r="HX18" s="36"/>
      <c r="HY18" s="36"/>
      <c r="HZ18" s="36"/>
      <c r="IA18" s="36"/>
      <c r="IB18" s="36"/>
      <c r="IC18" s="34" t="str">
        <v>黑龙江</v>
      </c>
      <c r="ID18" s="34"/>
      <c r="IE18" s="34"/>
      <c r="IF18" s="34"/>
      <c r="IG18" s="34"/>
      <c r="IH18" s="34"/>
      <c r="II18" s="34"/>
      <c r="IJ18" s="34"/>
      <c r="IK18" s="34"/>
      <c r="IL18" s="34"/>
      <c r="IM18" s="34"/>
      <c r="IN18" s="34"/>
      <c r="IO18" s="34"/>
      <c r="IP18" s="36" t="str">
        <v>蒙东</v>
      </c>
      <c r="IQ18" s="36"/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4" t="str">
        <v>陕西</v>
      </c>
      <c r="JD18" s="34"/>
      <c r="JE18" s="34"/>
      <c r="JF18" s="34"/>
      <c r="JG18" s="34"/>
      <c r="JH18" s="34"/>
      <c r="JI18" s="34"/>
      <c r="JJ18" s="34"/>
      <c r="JK18" s="34"/>
      <c r="JL18" s="34"/>
      <c r="JM18" s="34"/>
      <c r="JN18" s="34"/>
      <c r="JO18" s="34"/>
      <c r="JP18" s="36" t="str">
        <v>甘肃</v>
      </c>
      <c r="JQ18" s="36"/>
      <c r="JR18" s="36"/>
      <c r="JS18" s="36"/>
      <c r="JT18" s="36"/>
      <c r="JU18" s="36"/>
      <c r="JV18" s="36"/>
      <c r="JW18" s="36"/>
      <c r="JX18" s="36"/>
      <c r="JY18" s="36"/>
      <c r="JZ18" s="36"/>
      <c r="KA18" s="36"/>
      <c r="KB18" s="36"/>
      <c r="KC18" s="34" t="str">
        <v>青海</v>
      </c>
      <c r="KD18" s="34"/>
      <c r="KE18" s="34"/>
      <c r="KF18" s="34"/>
      <c r="KG18" s="34"/>
      <c r="KH18" s="34"/>
      <c r="KI18" s="34"/>
      <c r="KJ18" s="34"/>
      <c r="KK18" s="34"/>
      <c r="KL18" s="34"/>
      <c r="KM18" s="34"/>
      <c r="KN18" s="34"/>
      <c r="KO18" s="34"/>
      <c r="KP18" s="36" t="str">
        <v>宁夏</v>
      </c>
      <c r="KQ18" s="36"/>
      <c r="KR18" s="36"/>
      <c r="KS18" s="36"/>
      <c r="KT18" s="36"/>
      <c r="KU18" s="36"/>
      <c r="KV18" s="36"/>
      <c r="KW18" s="36"/>
      <c r="KX18" s="36"/>
      <c r="KY18" s="36"/>
      <c r="KZ18" s="36"/>
      <c r="LA18" s="36"/>
      <c r="LB18" s="36"/>
      <c r="LC18" s="34" t="str">
        <v>新疆</v>
      </c>
      <c r="LD18" s="34"/>
      <c r="LE18" s="34"/>
      <c r="LF18" s="34"/>
      <c r="LG18" s="34"/>
      <c r="LH18" s="34"/>
      <c r="LI18" s="34"/>
      <c r="LJ18" s="34"/>
      <c r="LK18" s="34"/>
      <c r="LL18" s="34"/>
      <c r="LM18" s="34"/>
      <c r="LN18" s="34"/>
      <c r="LO18" s="34"/>
      <c r="LP18" s="36" t="str">
        <v>重庆</v>
      </c>
      <c r="LQ18" s="36"/>
      <c r="LR18" s="36"/>
      <c r="LS18" s="36"/>
      <c r="LT18" s="36"/>
      <c r="LU18" s="36"/>
      <c r="LV18" s="36"/>
      <c r="LW18" s="36"/>
      <c r="LX18" s="36"/>
      <c r="LY18" s="36"/>
      <c r="LZ18" s="36"/>
      <c r="MA18" s="36"/>
      <c r="MB18" s="36"/>
      <c r="MC18" s="34" t="str">
        <v>四川</v>
      </c>
      <c r="MD18" s="34"/>
      <c r="ME18" s="34"/>
      <c r="MF18" s="34"/>
      <c r="MG18" s="34"/>
      <c r="MH18" s="34"/>
      <c r="MI18" s="34"/>
      <c r="MJ18" s="34"/>
      <c r="MK18" s="34"/>
      <c r="ML18" s="34"/>
      <c r="MM18" s="34"/>
      <c r="MN18" s="34"/>
      <c r="MO18" s="34"/>
      <c r="MP18" s="36" t="str">
        <v>广东</v>
      </c>
      <c r="MQ18" s="36"/>
      <c r="MR18" s="36"/>
      <c r="MS18" s="36"/>
      <c r="MT18" s="36"/>
      <c r="MU18" s="36"/>
      <c r="MV18" s="36"/>
      <c r="MW18" s="36"/>
      <c r="MX18" s="36"/>
      <c r="MY18" s="36"/>
      <c r="MZ18" s="36"/>
      <c r="NA18" s="36"/>
      <c r="NB18" s="36"/>
      <c r="NC18" s="34" t="str">
        <v>广西</v>
      </c>
      <c r="ND18" s="34"/>
      <c r="NE18" s="34"/>
      <c r="NF18" s="34"/>
      <c r="NG18" s="34"/>
      <c r="NH18" s="34"/>
      <c r="NI18" s="34"/>
      <c r="NJ18" s="34"/>
      <c r="NK18" s="34"/>
      <c r="NL18" s="34"/>
      <c r="NM18" s="34"/>
      <c r="NN18" s="34"/>
      <c r="NO18" s="34"/>
      <c r="NP18" s="36" t="str">
        <v>云南</v>
      </c>
      <c r="NQ18" s="36"/>
      <c r="NR18" s="36"/>
      <c r="NS18" s="36"/>
      <c r="NT18" s="36"/>
      <c r="NU18" s="36"/>
      <c r="NV18" s="36"/>
      <c r="NW18" s="36"/>
      <c r="NX18" s="36"/>
      <c r="NY18" s="36"/>
      <c r="NZ18" s="36"/>
      <c r="OA18" s="36"/>
      <c r="OB18" s="36"/>
      <c r="OC18" s="34" t="str">
        <v>贵州</v>
      </c>
      <c r="OD18" s="34"/>
      <c r="OE18" s="34"/>
      <c r="OF18" s="34"/>
      <c r="OG18" s="34"/>
      <c r="OH18" s="34"/>
      <c r="OI18" s="34"/>
      <c r="OJ18" s="34"/>
      <c r="OK18" s="34"/>
      <c r="OL18" s="34"/>
      <c r="OM18" s="34"/>
      <c r="ON18" s="34"/>
      <c r="OO18" s="34"/>
      <c r="OP18" s="36" t="str">
        <v>海南</v>
      </c>
      <c r="OQ18" s="36"/>
      <c r="OR18" s="36"/>
      <c r="OS18" s="36"/>
      <c r="OT18" s="36"/>
      <c r="OU18" s="36"/>
      <c r="OV18" s="36"/>
      <c r="OW18" s="36"/>
      <c r="OX18" s="36"/>
      <c r="OY18" s="36"/>
      <c r="OZ18" s="36"/>
      <c r="PA18" s="36"/>
      <c r="PB18" s="36"/>
    </row>
    <row customHeight="true" ht="19" r="19">
      <c r="A19" s="34">
        <v>18</v>
      </c>
      <c r="B19" s="39" t="str">
        <v>（17）成本补偿费用（现货）分摊折合度电水平</v>
      </c>
      <c r="C19" s="34" t="str">
        <v>北京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6" t="str">
        <v>天津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4" t="str">
        <v>河北南网</v>
      </c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6" t="str">
        <v>冀北</v>
      </c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4" t="str">
        <v>山东</v>
      </c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6" t="str">
        <v>山西</v>
      </c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4" t="str">
        <v>蒙西</v>
      </c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6" t="str">
        <v>上海</v>
      </c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4" t="str">
        <v>江苏</v>
      </c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6" t="str">
        <v>浙江</v>
      </c>
      <c r="DQ19" s="36">
        <v>0.000003</v>
      </c>
      <c r="DR19" s="36">
        <v>0.000004</v>
      </c>
      <c r="DS19" s="36">
        <v>0</v>
      </c>
      <c r="DT19" s="36">
        <v>0.000016</v>
      </c>
      <c r="DU19" s="36">
        <v>0</v>
      </c>
      <c r="DV19" s="36"/>
      <c r="DW19" s="36"/>
      <c r="DX19" s="36"/>
      <c r="DY19" s="36"/>
      <c r="DZ19" s="36"/>
      <c r="EA19" s="36"/>
      <c r="EB19" s="36"/>
      <c r="EC19" s="34" t="str">
        <v>安徽</v>
      </c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6" t="str">
        <v>福建</v>
      </c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4" t="str">
        <v>湖北</v>
      </c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6" t="str">
        <v>河南</v>
      </c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4" t="str">
        <v>湖南</v>
      </c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6" t="str">
        <v>江西</v>
      </c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4" t="str">
        <v>辽宁</v>
      </c>
      <c r="HD19" s="34"/>
      <c r="HE19" s="34"/>
      <c r="HF19" s="34"/>
      <c r="HG19" s="34"/>
      <c r="HH19" s="34"/>
      <c r="HI19" s="34"/>
      <c r="HJ19" s="34"/>
      <c r="HK19" s="34"/>
      <c r="HL19" s="34"/>
      <c r="HM19" s="34"/>
      <c r="HN19" s="34"/>
      <c r="HO19" s="34"/>
      <c r="HP19" s="36" t="str">
        <v>吉林</v>
      </c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4" t="str">
        <v>黑龙江</v>
      </c>
      <c r="ID19" s="34"/>
      <c r="IE19" s="34"/>
      <c r="IF19" s="34"/>
      <c r="IG19" s="34"/>
      <c r="IH19" s="34"/>
      <c r="II19" s="34"/>
      <c r="IJ19" s="34"/>
      <c r="IK19" s="34"/>
      <c r="IL19" s="34"/>
      <c r="IM19" s="34"/>
      <c r="IN19" s="34"/>
      <c r="IO19" s="34"/>
      <c r="IP19" s="36" t="str">
        <v>蒙东</v>
      </c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4" t="str">
        <v>陕西</v>
      </c>
      <c r="JD19" s="34"/>
      <c r="JE19" s="34"/>
      <c r="JF19" s="34"/>
      <c r="JG19" s="34"/>
      <c r="JH19" s="34"/>
      <c r="JI19" s="34"/>
      <c r="JJ19" s="34"/>
      <c r="JK19" s="34"/>
      <c r="JL19" s="34"/>
      <c r="JM19" s="34"/>
      <c r="JN19" s="34"/>
      <c r="JO19" s="34"/>
      <c r="JP19" s="36" t="str">
        <v>甘肃</v>
      </c>
      <c r="JQ19" s="36"/>
      <c r="JR19" s="36"/>
      <c r="JS19" s="36">
        <v>0.002058</v>
      </c>
      <c r="JT19" s="36">
        <v>0.004733</v>
      </c>
      <c r="JU19" s="36">
        <v>0.004355</v>
      </c>
      <c r="JV19" s="36"/>
      <c r="JW19" s="36"/>
      <c r="JX19" s="36"/>
      <c r="JY19" s="36"/>
      <c r="JZ19" s="36"/>
      <c r="KA19" s="36"/>
      <c r="KB19" s="36"/>
      <c r="KC19" s="34" t="str">
        <v>青海</v>
      </c>
      <c r="KD19" s="34"/>
      <c r="KE19" s="34"/>
      <c r="KF19" s="34"/>
      <c r="KG19" s="34"/>
      <c r="KH19" s="34"/>
      <c r="KI19" s="34"/>
      <c r="KJ19" s="34"/>
      <c r="KK19" s="34"/>
      <c r="KL19" s="34"/>
      <c r="KM19" s="34"/>
      <c r="KN19" s="34"/>
      <c r="KO19" s="34"/>
      <c r="KP19" s="36" t="str">
        <v>宁夏</v>
      </c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4" t="str">
        <v>新疆</v>
      </c>
      <c r="LD19" s="34"/>
      <c r="LE19" s="34"/>
      <c r="LF19" s="34"/>
      <c r="LG19" s="34"/>
      <c r="LH19" s="34"/>
      <c r="LI19" s="34"/>
      <c r="LJ19" s="34"/>
      <c r="LK19" s="34"/>
      <c r="LL19" s="34"/>
      <c r="LM19" s="34"/>
      <c r="LN19" s="34"/>
      <c r="LO19" s="34"/>
      <c r="LP19" s="36" t="str">
        <v>重庆</v>
      </c>
      <c r="LQ19" s="36"/>
      <c r="LR19" s="36"/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4" t="str">
        <v>四川</v>
      </c>
      <c r="MD19" s="34"/>
      <c r="ME19" s="34"/>
      <c r="MF19" s="34"/>
      <c r="MG19" s="34"/>
      <c r="MH19" s="34"/>
      <c r="MI19" s="34"/>
      <c r="MJ19" s="34"/>
      <c r="MK19" s="34"/>
      <c r="ML19" s="34"/>
      <c r="MM19" s="34"/>
      <c r="MN19" s="34"/>
      <c r="MO19" s="34"/>
      <c r="MP19" s="36" t="str">
        <v>广东</v>
      </c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4" t="str">
        <v>广西</v>
      </c>
      <c r="ND19" s="34"/>
      <c r="NE19" s="34"/>
      <c r="NF19" s="34"/>
      <c r="NG19" s="34"/>
      <c r="NH19" s="34"/>
      <c r="NI19" s="34"/>
      <c r="NJ19" s="34"/>
      <c r="NK19" s="34"/>
      <c r="NL19" s="34"/>
      <c r="NM19" s="34"/>
      <c r="NN19" s="34"/>
      <c r="NO19" s="34"/>
      <c r="NP19" s="36" t="str">
        <v>云南</v>
      </c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4" t="str">
        <v>贵州</v>
      </c>
      <c r="OD19" s="34"/>
      <c r="OE19" s="34"/>
      <c r="OF19" s="34"/>
      <c r="OG19" s="34"/>
      <c r="OH19" s="34"/>
      <c r="OI19" s="34"/>
      <c r="OJ19" s="34"/>
      <c r="OK19" s="34"/>
      <c r="OL19" s="34"/>
      <c r="OM19" s="34"/>
      <c r="ON19" s="34"/>
      <c r="OO19" s="34"/>
      <c r="OP19" s="36" t="str">
        <v>海南</v>
      </c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</row>
    <row customHeight="true" ht="19" r="20">
      <c r="A20" s="34">
        <v>19</v>
      </c>
      <c r="B20" s="39" t="str">
        <v>（18）跨省跨区应急调度价差损益折合度电水平</v>
      </c>
      <c r="C20" s="34" t="str">
        <v>北京</v>
      </c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6" t="str">
        <v>天津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/>
      <c r="W20" s="36"/>
      <c r="X20" s="36"/>
      <c r="Y20" s="36"/>
      <c r="Z20" s="36"/>
      <c r="AA20" s="36"/>
      <c r="AB20" s="36"/>
      <c r="AC20" s="34" t="str">
        <v>河北南网</v>
      </c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6" t="str">
        <v>冀北</v>
      </c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4" t="str">
        <v>山东</v>
      </c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6" t="str">
        <v>山西</v>
      </c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4" t="str">
        <v>蒙西</v>
      </c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6" t="str">
        <v>上海</v>
      </c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4" t="str">
        <v>江苏</v>
      </c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6" t="str">
        <v>浙江</v>
      </c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4" t="str">
        <v>安徽</v>
      </c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6" t="str">
        <v>福建</v>
      </c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4" t="str">
        <v>湖北</v>
      </c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6" t="str">
        <v>河南</v>
      </c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4" t="str">
        <v>湖南</v>
      </c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6" t="str">
        <v>江西</v>
      </c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4" t="str">
        <v>辽宁</v>
      </c>
      <c r="HD20" s="34">
        <v>0</v>
      </c>
      <c r="HE20" s="34">
        <v>0</v>
      </c>
      <c r="HF20" s="34">
        <v>0</v>
      </c>
      <c r="HG20" s="34">
        <v>0</v>
      </c>
      <c r="HH20" s="34">
        <v>0</v>
      </c>
      <c r="HI20" s="34"/>
      <c r="HJ20" s="34"/>
      <c r="HK20" s="34"/>
      <c r="HL20" s="34"/>
      <c r="HM20" s="34"/>
      <c r="HN20" s="34"/>
      <c r="HO20" s="34"/>
      <c r="HP20" s="36" t="str">
        <v>吉林</v>
      </c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4" t="str">
        <v>黑龙江</v>
      </c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6" t="str">
        <v>蒙东</v>
      </c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4" t="str">
        <v>陕西</v>
      </c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6" t="str">
        <v>甘肃</v>
      </c>
      <c r="JQ20" s="36"/>
      <c r="JR20" s="36"/>
      <c r="JS20" s="36"/>
      <c r="JT20" s="36"/>
      <c r="JU20" s="36">
        <v>0</v>
      </c>
      <c r="JV20" s="36"/>
      <c r="JW20" s="36"/>
      <c r="JX20" s="36"/>
      <c r="JY20" s="36"/>
      <c r="JZ20" s="36"/>
      <c r="KA20" s="36"/>
      <c r="KB20" s="36"/>
      <c r="KC20" s="34" t="str">
        <v>青海</v>
      </c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4"/>
      <c r="KP20" s="36" t="str">
        <v>宁夏</v>
      </c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4" t="str">
        <v>新疆</v>
      </c>
      <c r="LD20" s="34">
        <v>0</v>
      </c>
      <c r="LE20" s="34">
        <v>0.000044</v>
      </c>
      <c r="LF20" s="34">
        <v>0.00006</v>
      </c>
      <c r="LG20" s="34">
        <v>-0.000061</v>
      </c>
      <c r="LH20" s="34">
        <v>0</v>
      </c>
      <c r="LI20" s="34"/>
      <c r="LJ20" s="34"/>
      <c r="LK20" s="34"/>
      <c r="LL20" s="34"/>
      <c r="LM20" s="34"/>
      <c r="LN20" s="34"/>
      <c r="LO20" s="34"/>
      <c r="LP20" s="36" t="str">
        <v>重庆</v>
      </c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4" t="str">
        <v>四川</v>
      </c>
      <c r="MD20" s="34">
        <v>0</v>
      </c>
      <c r="ME20" s="34">
        <v>-0.000166</v>
      </c>
      <c r="MF20" s="34">
        <v>0</v>
      </c>
      <c r="MG20" s="34">
        <v>0</v>
      </c>
      <c r="MH20" s="34">
        <v>0</v>
      </c>
      <c r="MI20" s="34"/>
      <c r="MJ20" s="34"/>
      <c r="MK20" s="34"/>
      <c r="ML20" s="34"/>
      <c r="MM20" s="34"/>
      <c r="MN20" s="34"/>
      <c r="MO20" s="34"/>
      <c r="MP20" s="36" t="str">
        <v>广东</v>
      </c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4" t="str">
        <v>广西</v>
      </c>
      <c r="ND20" s="34"/>
      <c r="NE20" s="34"/>
      <c r="NF20" s="34"/>
      <c r="NG20" s="34"/>
      <c r="NH20" s="34"/>
      <c r="NI20" s="34"/>
      <c r="NJ20" s="34"/>
      <c r="NK20" s="34"/>
      <c r="NL20" s="34"/>
      <c r="NM20" s="34"/>
      <c r="NN20" s="34"/>
      <c r="NO20" s="34"/>
      <c r="NP20" s="36" t="str">
        <v>云南</v>
      </c>
      <c r="NQ20" s="36"/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4" t="str">
        <v>贵州</v>
      </c>
      <c r="OD20" s="34"/>
      <c r="OE20" s="34"/>
      <c r="OF20" s="34"/>
      <c r="OG20" s="34"/>
      <c r="OH20" s="34"/>
      <c r="OI20" s="34"/>
      <c r="OJ20" s="34"/>
      <c r="OK20" s="34"/>
      <c r="OL20" s="34"/>
      <c r="OM20" s="34"/>
      <c r="ON20" s="34"/>
      <c r="OO20" s="34"/>
      <c r="OP20" s="36" t="str">
        <v>海南</v>
      </c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</row>
    <row customHeight="true" ht="19" r="21">
      <c r="A21" s="34">
        <v>20</v>
      </c>
      <c r="B21" s="39" t="str">
        <v>（19）电力保障综合费用折合度电水平</v>
      </c>
      <c r="C21" s="34" t="str">
        <v>北京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6" t="str">
        <v>天津</v>
      </c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4" t="str">
        <v>河北南网</v>
      </c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6" t="str">
        <v>冀北</v>
      </c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4" t="str">
        <v>山东</v>
      </c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6" t="str">
        <v>山西</v>
      </c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4" t="str">
        <v>蒙西</v>
      </c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6" t="str">
        <v>上海</v>
      </c>
      <c r="CQ21" s="36">
        <v>0</v>
      </c>
      <c r="CR21" s="36">
        <v>0.002042</v>
      </c>
      <c r="CS21" s="36">
        <v>0</v>
      </c>
      <c r="CT21" s="36">
        <v>0</v>
      </c>
      <c r="CU21" s="36">
        <v>0</v>
      </c>
      <c r="CV21" s="36"/>
      <c r="CW21" s="36"/>
      <c r="CX21" s="36"/>
      <c r="CY21" s="36"/>
      <c r="CZ21" s="36"/>
      <c r="DA21" s="36"/>
      <c r="DB21" s="36"/>
      <c r="DC21" s="34" t="str">
        <v>江苏</v>
      </c>
      <c r="DD21" s="34">
        <v>0</v>
      </c>
      <c r="DE21" s="34">
        <v>0.0001</v>
      </c>
      <c r="DF21" s="34">
        <v>0.0001</v>
      </c>
      <c r="DG21" s="34">
        <v>0</v>
      </c>
      <c r="DH21" s="34">
        <v>0</v>
      </c>
      <c r="DI21" s="34"/>
      <c r="DJ21" s="34"/>
      <c r="DK21" s="34"/>
      <c r="DL21" s="34"/>
      <c r="DM21" s="34"/>
      <c r="DN21" s="34"/>
      <c r="DO21" s="34"/>
      <c r="DP21" s="36" t="str">
        <v>浙江</v>
      </c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4" t="str">
        <v>安徽</v>
      </c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6" t="str">
        <v>福建</v>
      </c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4" t="str">
        <v>湖北</v>
      </c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6" t="str">
        <v>河南</v>
      </c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4" t="str">
        <v>湖南</v>
      </c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6" t="str">
        <v>江西</v>
      </c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4" t="str">
        <v>辽宁</v>
      </c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6" t="str">
        <v>吉林</v>
      </c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4" t="str">
        <v>黑龙江</v>
      </c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6" t="str">
        <v>蒙东</v>
      </c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4" t="str">
        <v>陕西</v>
      </c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  <c r="JO21" s="34"/>
      <c r="JP21" s="36" t="str">
        <v>甘肃</v>
      </c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36"/>
      <c r="KB21" s="36"/>
      <c r="KC21" s="34" t="str">
        <v>青海</v>
      </c>
      <c r="KD21" s="34"/>
      <c r="KE21" s="34"/>
      <c r="KF21" s="34"/>
      <c r="KG21" s="34"/>
      <c r="KH21" s="34"/>
      <c r="KI21" s="34"/>
      <c r="KJ21" s="34"/>
      <c r="KK21" s="34"/>
      <c r="KL21" s="34"/>
      <c r="KM21" s="34"/>
      <c r="KN21" s="34"/>
      <c r="KO21" s="34"/>
      <c r="KP21" s="36" t="str">
        <v>宁夏</v>
      </c>
      <c r="KQ21" s="36"/>
      <c r="KR21" s="36"/>
      <c r="KS21" s="36"/>
      <c r="KT21" s="36"/>
      <c r="KU21" s="36"/>
      <c r="KV21" s="36"/>
      <c r="KW21" s="36"/>
      <c r="KX21" s="36"/>
      <c r="KY21" s="36"/>
      <c r="KZ21" s="36"/>
      <c r="LA21" s="36"/>
      <c r="LB21" s="36"/>
      <c r="LC21" s="34" t="str">
        <v>新疆</v>
      </c>
      <c r="LD21" s="34"/>
      <c r="LE21" s="34"/>
      <c r="LF21" s="34"/>
      <c r="LG21" s="34"/>
      <c r="LH21" s="34"/>
      <c r="LI21" s="34"/>
      <c r="LJ21" s="34"/>
      <c r="LK21" s="34"/>
      <c r="LL21" s="34"/>
      <c r="LM21" s="34"/>
      <c r="LN21" s="34"/>
      <c r="LO21" s="34"/>
      <c r="LP21" s="36" t="str">
        <v>重庆</v>
      </c>
      <c r="LQ21" s="36"/>
      <c r="LR21" s="36"/>
      <c r="LS21" s="36"/>
      <c r="LT21" s="36"/>
      <c r="LU21" s="36"/>
      <c r="LV21" s="36"/>
      <c r="LW21" s="36"/>
      <c r="LX21" s="36"/>
      <c r="LY21" s="36"/>
      <c r="LZ21" s="36"/>
      <c r="MA21" s="36"/>
      <c r="MB21" s="36"/>
      <c r="MC21" s="34" t="str">
        <v>四川</v>
      </c>
      <c r="MD21" s="34"/>
      <c r="ME21" s="34"/>
      <c r="MF21" s="34"/>
      <c r="MG21" s="34"/>
      <c r="MH21" s="34"/>
      <c r="MI21" s="34"/>
      <c r="MJ21" s="34"/>
      <c r="MK21" s="34"/>
      <c r="ML21" s="34"/>
      <c r="MM21" s="34"/>
      <c r="MN21" s="34"/>
      <c r="MO21" s="34"/>
      <c r="MP21" s="36" t="str">
        <v>广东</v>
      </c>
      <c r="MQ21" s="36"/>
      <c r="MR21" s="36"/>
      <c r="MS21" s="36"/>
      <c r="MT21" s="36"/>
      <c r="MU21" s="36"/>
      <c r="MV21" s="36"/>
      <c r="MW21" s="36"/>
      <c r="MX21" s="36"/>
      <c r="MY21" s="36"/>
      <c r="MZ21" s="36"/>
      <c r="NA21" s="36"/>
      <c r="NB21" s="36"/>
      <c r="NC21" s="34" t="str">
        <v>广西</v>
      </c>
      <c r="ND21" s="34"/>
      <c r="NE21" s="34"/>
      <c r="NF21" s="34"/>
      <c r="NG21" s="34"/>
      <c r="NH21" s="34"/>
      <c r="NI21" s="34"/>
      <c r="NJ21" s="34"/>
      <c r="NK21" s="34"/>
      <c r="NL21" s="34"/>
      <c r="NM21" s="34"/>
      <c r="NN21" s="34"/>
      <c r="NO21" s="34"/>
      <c r="NP21" s="36" t="str">
        <v>云南</v>
      </c>
      <c r="NQ21" s="36"/>
      <c r="NR21" s="36"/>
      <c r="NS21" s="36"/>
      <c r="NT21" s="36"/>
      <c r="NU21" s="36"/>
      <c r="NV21" s="36"/>
      <c r="NW21" s="36"/>
      <c r="NX21" s="36"/>
      <c r="NY21" s="36"/>
      <c r="NZ21" s="36"/>
      <c r="OA21" s="36"/>
      <c r="OB21" s="36"/>
      <c r="OC21" s="34" t="str">
        <v>贵州</v>
      </c>
      <c r="OD21" s="34"/>
      <c r="OE21" s="34"/>
      <c r="OF21" s="34"/>
      <c r="OG21" s="34"/>
      <c r="OH21" s="34"/>
      <c r="OI21" s="34"/>
      <c r="OJ21" s="34"/>
      <c r="OK21" s="34"/>
      <c r="OL21" s="34"/>
      <c r="OM21" s="34"/>
      <c r="ON21" s="34"/>
      <c r="OO21" s="34"/>
      <c r="OP21" s="36" t="str">
        <v>海南</v>
      </c>
      <c r="OQ21" s="36"/>
      <c r="OR21" s="36"/>
      <c r="OS21" s="36"/>
      <c r="OT21" s="36"/>
      <c r="OU21" s="36"/>
      <c r="OV21" s="36"/>
      <c r="OW21" s="36"/>
      <c r="OX21" s="36"/>
      <c r="OY21" s="36"/>
      <c r="OZ21" s="36"/>
      <c r="PA21" s="36"/>
      <c r="PB21" s="36"/>
    </row>
    <row customHeight="true" ht="19" r="22">
      <c r="A22" s="34">
        <v>21</v>
      </c>
      <c r="B22" s="39" t="str">
        <v>（20）地方电网减免电费损益折合度电水平</v>
      </c>
      <c r="C22" s="34" t="str">
        <v>北京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6" t="str">
        <v>天津</v>
      </c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4" t="str">
        <v>河北南网</v>
      </c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6" t="str">
        <v>冀北</v>
      </c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4" t="str">
        <v>山东</v>
      </c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6" t="str">
        <v>山西</v>
      </c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4" t="str">
        <v>蒙西</v>
      </c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6" t="str">
        <v>上海</v>
      </c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4" t="str">
        <v>江苏</v>
      </c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6" t="str">
        <v>浙江</v>
      </c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4" t="str">
        <v>安徽</v>
      </c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6" t="str">
        <v>福建</v>
      </c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4" t="str">
        <v>湖北</v>
      </c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6" t="str">
        <v>河南</v>
      </c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4" t="str">
        <v>湖南</v>
      </c>
      <c r="GD22" s="34">
        <v>0.004933</v>
      </c>
      <c r="GE22" s="34">
        <v>0.007461</v>
      </c>
      <c r="GF22" s="34">
        <v>0.001629</v>
      </c>
      <c r="GG22" s="34">
        <v>0.006607</v>
      </c>
      <c r="GH22" s="34">
        <v>0.002629</v>
      </c>
      <c r="GI22" s="34"/>
      <c r="GJ22" s="34"/>
      <c r="GK22" s="34"/>
      <c r="GL22" s="34"/>
      <c r="GM22" s="34"/>
      <c r="GN22" s="34"/>
      <c r="GO22" s="34"/>
      <c r="GP22" s="36" t="str">
        <v>江西</v>
      </c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4" t="str">
        <v>辽宁</v>
      </c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6" t="str">
        <v>吉林</v>
      </c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4" t="str">
        <v>黑龙江</v>
      </c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6" t="str">
        <v>蒙东</v>
      </c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4" t="str">
        <v>陕西</v>
      </c>
      <c r="JD22" s="34"/>
      <c r="JE22" s="34"/>
      <c r="JF22" s="34"/>
      <c r="JG22" s="34"/>
      <c r="JH22" s="34"/>
      <c r="JI22" s="34"/>
      <c r="JJ22" s="34"/>
      <c r="JK22" s="34"/>
      <c r="JL22" s="34"/>
      <c r="JM22" s="34"/>
      <c r="JN22" s="34"/>
      <c r="JO22" s="34"/>
      <c r="JP22" s="36" t="str">
        <v>甘肃</v>
      </c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4" t="str">
        <v>青海</v>
      </c>
      <c r="KD22" s="34"/>
      <c r="KE22" s="34"/>
      <c r="KF22" s="34"/>
      <c r="KG22" s="34"/>
      <c r="KH22" s="34"/>
      <c r="KI22" s="34"/>
      <c r="KJ22" s="34"/>
      <c r="KK22" s="34"/>
      <c r="KL22" s="34"/>
      <c r="KM22" s="34"/>
      <c r="KN22" s="34"/>
      <c r="KO22" s="34"/>
      <c r="KP22" s="36" t="str">
        <v>宁夏</v>
      </c>
      <c r="KQ22" s="36"/>
      <c r="KR22" s="36"/>
      <c r="KS22" s="36"/>
      <c r="KT22" s="36"/>
      <c r="KU22" s="36"/>
      <c r="KV22" s="36"/>
      <c r="KW22" s="36"/>
      <c r="KX22" s="36"/>
      <c r="KY22" s="36"/>
      <c r="KZ22" s="36"/>
      <c r="LA22" s="36"/>
      <c r="LB22" s="36"/>
      <c r="LC22" s="34" t="str">
        <v>新疆</v>
      </c>
      <c r="LD22" s="34"/>
      <c r="LE22" s="34"/>
      <c r="LF22" s="34"/>
      <c r="LG22" s="34"/>
      <c r="LH22" s="34"/>
      <c r="LI22" s="34"/>
      <c r="LJ22" s="34"/>
      <c r="LK22" s="34"/>
      <c r="LL22" s="34"/>
      <c r="LM22" s="34"/>
      <c r="LN22" s="34"/>
      <c r="LO22" s="34"/>
      <c r="LP22" s="36" t="str">
        <v>重庆</v>
      </c>
      <c r="LQ22" s="36"/>
      <c r="LR22" s="36"/>
      <c r="LS22" s="36"/>
      <c r="LT22" s="36"/>
      <c r="LU22" s="36"/>
      <c r="LV22" s="36"/>
      <c r="LW22" s="36"/>
      <c r="LX22" s="36"/>
      <c r="LY22" s="36"/>
      <c r="LZ22" s="36"/>
      <c r="MA22" s="36"/>
      <c r="MB22" s="36"/>
      <c r="MC22" s="34" t="str">
        <v>四川</v>
      </c>
      <c r="MD22" s="34"/>
      <c r="ME22" s="34"/>
      <c r="MF22" s="34"/>
      <c r="MG22" s="34"/>
      <c r="MH22" s="34"/>
      <c r="MI22" s="34"/>
      <c r="MJ22" s="34"/>
      <c r="MK22" s="34"/>
      <c r="ML22" s="34"/>
      <c r="MM22" s="34"/>
      <c r="MN22" s="34"/>
      <c r="MO22" s="34"/>
      <c r="MP22" s="36" t="str">
        <v>广东</v>
      </c>
      <c r="MQ22" s="36"/>
      <c r="MR22" s="36"/>
      <c r="MS22" s="36"/>
      <c r="MT22" s="36"/>
      <c r="MU22" s="36"/>
      <c r="MV22" s="36"/>
      <c r="MW22" s="36"/>
      <c r="MX22" s="36"/>
      <c r="MY22" s="36"/>
      <c r="MZ22" s="36"/>
      <c r="NA22" s="36"/>
      <c r="NB22" s="36"/>
      <c r="NC22" s="34" t="str">
        <v>广西</v>
      </c>
      <c r="ND22" s="34"/>
      <c r="NE22" s="34"/>
      <c r="NF22" s="34"/>
      <c r="NG22" s="34"/>
      <c r="NH22" s="34"/>
      <c r="NI22" s="34"/>
      <c r="NJ22" s="34"/>
      <c r="NK22" s="34"/>
      <c r="NL22" s="34"/>
      <c r="NM22" s="34"/>
      <c r="NN22" s="34"/>
      <c r="NO22" s="34"/>
      <c r="NP22" s="36" t="str">
        <v>云南</v>
      </c>
      <c r="NQ22" s="36"/>
      <c r="NR22" s="36"/>
      <c r="NS22" s="36"/>
      <c r="NT22" s="36"/>
      <c r="NU22" s="36"/>
      <c r="NV22" s="36"/>
      <c r="NW22" s="36"/>
      <c r="NX22" s="36"/>
      <c r="NY22" s="36"/>
      <c r="NZ22" s="36"/>
      <c r="OA22" s="36"/>
      <c r="OB22" s="36"/>
      <c r="OC22" s="34" t="str">
        <v>贵州</v>
      </c>
      <c r="OD22" s="34"/>
      <c r="OE22" s="34"/>
      <c r="OF22" s="34"/>
      <c r="OG22" s="34"/>
      <c r="OH22" s="34"/>
      <c r="OI22" s="34"/>
      <c r="OJ22" s="34"/>
      <c r="OK22" s="34"/>
      <c r="OL22" s="34"/>
      <c r="OM22" s="34"/>
      <c r="ON22" s="34"/>
      <c r="OO22" s="34"/>
      <c r="OP22" s="36" t="str">
        <v>海南</v>
      </c>
      <c r="OQ22" s="36"/>
      <c r="OR22" s="36"/>
      <c r="OS22" s="36"/>
      <c r="OT22" s="36"/>
      <c r="OU22" s="36"/>
      <c r="OV22" s="36"/>
      <c r="OW22" s="36"/>
      <c r="OX22" s="36"/>
      <c r="OY22" s="36"/>
      <c r="OZ22" s="36"/>
      <c r="PA22" s="36"/>
      <c r="PB22" s="36"/>
    </row>
    <row customHeight="true" ht="19" r="23">
      <c r="A23" s="34">
        <v>22</v>
      </c>
      <c r="B23" s="39" t="str">
        <v>（21）剩余优先发电价差损益度电水平</v>
      </c>
      <c r="C23" s="34" t="str">
        <v>北京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6" t="str">
        <v>天津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4" t="str">
        <v>河北南网</v>
      </c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6" t="str">
        <v>冀北</v>
      </c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4" t="str">
        <v>山东</v>
      </c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6" t="str">
        <v>山西</v>
      </c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4" t="str">
        <v>蒙西</v>
      </c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6" t="str">
        <v>上海</v>
      </c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4" t="str">
        <v>江苏</v>
      </c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6" t="str">
        <v>浙江</v>
      </c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4" t="str">
        <v>安徽</v>
      </c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6" t="str">
        <v>福建</v>
      </c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4" t="str">
        <v>湖北</v>
      </c>
      <c r="FD23" s="34">
        <v>0.006762</v>
      </c>
      <c r="FE23" s="34">
        <v>0.00485</v>
      </c>
      <c r="FF23" s="34">
        <v>0.004538</v>
      </c>
      <c r="FG23" s="34">
        <v>0.002046</v>
      </c>
      <c r="FH23" s="34">
        <v>-0.003934</v>
      </c>
      <c r="FI23" s="34"/>
      <c r="FJ23" s="34"/>
      <c r="FK23" s="34"/>
      <c r="FL23" s="34"/>
      <c r="FM23" s="34"/>
      <c r="FN23" s="34"/>
      <c r="FO23" s="34"/>
      <c r="FP23" s="36" t="str">
        <v>河南</v>
      </c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4" t="str">
        <v>湖南</v>
      </c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6" t="str">
        <v>江西</v>
      </c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4" t="str">
        <v>辽宁</v>
      </c>
      <c r="HD23" s="34"/>
      <c r="HE23" s="34"/>
      <c r="HF23" s="34"/>
      <c r="HG23" s="34"/>
      <c r="HH23" s="34"/>
      <c r="HI23" s="34"/>
      <c r="HJ23" s="34"/>
      <c r="HK23" s="34"/>
      <c r="HL23" s="34"/>
      <c r="HM23" s="34"/>
      <c r="HN23" s="34"/>
      <c r="HO23" s="34"/>
      <c r="HP23" s="36" t="str">
        <v>吉林</v>
      </c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4" t="str">
        <v>黑龙江</v>
      </c>
      <c r="ID23" s="34"/>
      <c r="IE23" s="34"/>
      <c r="IF23" s="34"/>
      <c r="IG23" s="34"/>
      <c r="IH23" s="34"/>
      <c r="II23" s="34"/>
      <c r="IJ23" s="34"/>
      <c r="IK23" s="34"/>
      <c r="IL23" s="34"/>
      <c r="IM23" s="34"/>
      <c r="IN23" s="34"/>
      <c r="IO23" s="34"/>
      <c r="IP23" s="36" t="str">
        <v>蒙东</v>
      </c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4" t="str">
        <v>陕西</v>
      </c>
      <c r="JD23" s="34"/>
      <c r="JE23" s="34"/>
      <c r="JF23" s="34"/>
      <c r="JG23" s="34"/>
      <c r="JH23" s="34"/>
      <c r="JI23" s="34"/>
      <c r="JJ23" s="34"/>
      <c r="JK23" s="34"/>
      <c r="JL23" s="34"/>
      <c r="JM23" s="34"/>
      <c r="JN23" s="34"/>
      <c r="JO23" s="34"/>
      <c r="JP23" s="36" t="str">
        <v>甘肃</v>
      </c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4" t="str">
        <v>青海</v>
      </c>
      <c r="KD23" s="34"/>
      <c r="KE23" s="34"/>
      <c r="KF23" s="34"/>
      <c r="KG23" s="34"/>
      <c r="KH23" s="34"/>
      <c r="KI23" s="34"/>
      <c r="KJ23" s="34"/>
      <c r="KK23" s="34"/>
      <c r="KL23" s="34"/>
      <c r="KM23" s="34"/>
      <c r="KN23" s="34"/>
      <c r="KO23" s="34"/>
      <c r="KP23" s="36" t="str">
        <v>宁夏</v>
      </c>
      <c r="KQ23" s="36"/>
      <c r="KR23" s="36"/>
      <c r="KS23" s="36"/>
      <c r="KT23" s="36"/>
      <c r="KU23" s="36"/>
      <c r="KV23" s="36"/>
      <c r="KW23" s="36"/>
      <c r="KX23" s="36"/>
      <c r="KY23" s="36"/>
      <c r="KZ23" s="36"/>
      <c r="LA23" s="36"/>
      <c r="LB23" s="36"/>
      <c r="LC23" s="34" t="str">
        <v>新疆</v>
      </c>
      <c r="LD23" s="34"/>
      <c r="LE23" s="34"/>
      <c r="LF23" s="34"/>
      <c r="LG23" s="34"/>
      <c r="LH23" s="34"/>
      <c r="LI23" s="34"/>
      <c r="LJ23" s="34"/>
      <c r="LK23" s="34"/>
      <c r="LL23" s="34"/>
      <c r="LM23" s="34"/>
      <c r="LN23" s="34"/>
      <c r="LO23" s="34"/>
      <c r="LP23" s="36" t="str">
        <v>重庆</v>
      </c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4" t="str">
        <v>四川</v>
      </c>
      <c r="MD23" s="34"/>
      <c r="ME23" s="34"/>
      <c r="MF23" s="34"/>
      <c r="MG23" s="34"/>
      <c r="MH23" s="34"/>
      <c r="MI23" s="34"/>
      <c r="MJ23" s="34"/>
      <c r="MK23" s="34"/>
      <c r="ML23" s="34"/>
      <c r="MM23" s="34"/>
      <c r="MN23" s="34"/>
      <c r="MO23" s="34"/>
      <c r="MP23" s="36" t="str">
        <v>广东</v>
      </c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6"/>
      <c r="NB23" s="36"/>
      <c r="NC23" s="34" t="str">
        <v>广西</v>
      </c>
      <c r="ND23" s="34"/>
      <c r="NE23" s="34"/>
      <c r="NF23" s="34"/>
      <c r="NG23" s="34"/>
      <c r="NH23" s="34"/>
      <c r="NI23" s="34"/>
      <c r="NJ23" s="34"/>
      <c r="NK23" s="34"/>
      <c r="NL23" s="34"/>
      <c r="NM23" s="34"/>
      <c r="NN23" s="34"/>
      <c r="NO23" s="34"/>
      <c r="NP23" s="36" t="str">
        <v>云南</v>
      </c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4" t="str">
        <v>贵州</v>
      </c>
      <c r="OD23" s="34"/>
      <c r="OE23" s="34">
        <v>0.018164</v>
      </c>
      <c r="OF23" s="34">
        <v>0.001106</v>
      </c>
      <c r="OG23" s="34">
        <v>-0.000626</v>
      </c>
      <c r="OH23" s="34">
        <v>-0.018048</v>
      </c>
      <c r="OI23" s="34"/>
      <c r="OJ23" s="34"/>
      <c r="OK23" s="34"/>
      <c r="OL23" s="34"/>
      <c r="OM23" s="34"/>
      <c r="ON23" s="34"/>
      <c r="OO23" s="34"/>
      <c r="OP23" s="36" t="str">
        <v>海南</v>
      </c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</row>
    <row customHeight="true" ht="19" r="24">
      <c r="A24" s="34">
        <v>23</v>
      </c>
      <c r="B24" s="39" t="str">
        <v>（22）其他费用折合度电水平</v>
      </c>
      <c r="C24" s="34" t="str">
        <v>北京</v>
      </c>
      <c r="D24" s="34">
        <v>-0.0089</v>
      </c>
      <c r="E24" s="34">
        <v>-0.0089</v>
      </c>
      <c r="F24" s="34">
        <v>-0.0089</v>
      </c>
      <c r="G24" s="34">
        <v>-0.0089</v>
      </c>
      <c r="H24" s="34">
        <v>-0.0089</v>
      </c>
      <c r="I24" s="34"/>
      <c r="J24" s="34"/>
      <c r="K24" s="34"/>
      <c r="L24" s="34"/>
      <c r="M24" s="34"/>
      <c r="N24" s="34"/>
      <c r="O24" s="34"/>
      <c r="P24" s="36" t="str">
        <v>天津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4" t="str">
        <v>河北南网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/>
      <c r="AJ24" s="34"/>
      <c r="AK24" s="34"/>
      <c r="AL24" s="34"/>
      <c r="AM24" s="34"/>
      <c r="AN24" s="34"/>
      <c r="AO24" s="34"/>
      <c r="AP24" s="36" t="str">
        <v>冀北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/>
      <c r="AW24" s="36"/>
      <c r="AX24" s="36"/>
      <c r="AY24" s="36"/>
      <c r="AZ24" s="36"/>
      <c r="BA24" s="36"/>
      <c r="BB24" s="36"/>
      <c r="BC24" s="34" t="str">
        <v>山东</v>
      </c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6" t="str">
        <v>山西</v>
      </c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4" t="str">
        <v>蒙西</v>
      </c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6" t="str">
        <v>上海</v>
      </c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4" t="str">
        <v>江苏</v>
      </c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6" t="str">
        <v>浙江</v>
      </c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4" t="str">
        <v>安徽</v>
      </c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6" t="str">
        <v>福建</v>
      </c>
      <c r="EQ24" s="36">
        <v>0.005891</v>
      </c>
      <c r="ER24" s="36">
        <v>0.007833</v>
      </c>
      <c r="ES24" s="36">
        <v>0.008334</v>
      </c>
      <c r="ET24" s="36">
        <v>0.009375</v>
      </c>
      <c r="EU24" s="36">
        <v>0.002561</v>
      </c>
      <c r="EV24" s="36"/>
      <c r="EW24" s="36"/>
      <c r="EX24" s="36"/>
      <c r="EY24" s="36"/>
      <c r="EZ24" s="36"/>
      <c r="FA24" s="36"/>
      <c r="FB24" s="36"/>
      <c r="FC24" s="34" t="str">
        <v>湖北</v>
      </c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6" t="str">
        <v>河南</v>
      </c>
      <c r="FQ24" s="36">
        <v>0</v>
      </c>
      <c r="FR24" s="36">
        <v>0</v>
      </c>
      <c r="FS24" s="36">
        <v>0</v>
      </c>
      <c r="FT24" s="36">
        <v>0</v>
      </c>
      <c r="FU24" s="36">
        <v>0</v>
      </c>
      <c r="FV24" s="36"/>
      <c r="FW24" s="36"/>
      <c r="FX24" s="36"/>
      <c r="FY24" s="36"/>
      <c r="FZ24" s="36"/>
      <c r="GA24" s="36"/>
      <c r="GB24" s="36"/>
      <c r="GC24" s="34" t="str">
        <v>湖南</v>
      </c>
      <c r="GD24" s="34">
        <v>0</v>
      </c>
      <c r="GE24" s="34">
        <v>0</v>
      </c>
      <c r="GF24" s="34">
        <v>0</v>
      </c>
      <c r="GG24" s="34">
        <v>0</v>
      </c>
      <c r="GH24" s="34">
        <v>0</v>
      </c>
      <c r="GI24" s="34"/>
      <c r="GJ24" s="34"/>
      <c r="GK24" s="34"/>
      <c r="GL24" s="34"/>
      <c r="GM24" s="34"/>
      <c r="GN24" s="34"/>
      <c r="GO24" s="34"/>
      <c r="GP24" s="36" t="str">
        <v>江西</v>
      </c>
      <c r="GQ24" s="36">
        <v>-0.03442</v>
      </c>
      <c r="GR24" s="36">
        <v>-0.057529</v>
      </c>
      <c r="GS24" s="36">
        <v>0.023293</v>
      </c>
      <c r="GT24" s="36">
        <v>-0.006832</v>
      </c>
      <c r="GU24" s="36">
        <v>0.001174</v>
      </c>
      <c r="GV24" s="36"/>
      <c r="GW24" s="36"/>
      <c r="GX24" s="36"/>
      <c r="GY24" s="36"/>
      <c r="GZ24" s="36"/>
      <c r="HA24" s="36"/>
      <c r="HB24" s="36"/>
      <c r="HC24" s="34" t="str">
        <v>辽宁</v>
      </c>
      <c r="HD24" s="34"/>
      <c r="HE24" s="34"/>
      <c r="HF24" s="34"/>
      <c r="HG24" s="34"/>
      <c r="HH24" s="34"/>
      <c r="HI24" s="34"/>
      <c r="HJ24" s="34"/>
      <c r="HK24" s="34"/>
      <c r="HL24" s="34"/>
      <c r="HM24" s="34"/>
      <c r="HN24" s="34"/>
      <c r="HO24" s="34"/>
      <c r="HP24" s="36" t="str">
        <v>吉林</v>
      </c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4" t="str">
        <v>黑龙江</v>
      </c>
      <c r="ID24" s="34">
        <v>0</v>
      </c>
      <c r="IE24" s="34">
        <v>0</v>
      </c>
      <c r="IF24" s="34">
        <v>0</v>
      </c>
      <c r="IG24" s="34">
        <v>0</v>
      </c>
      <c r="IH24" s="34">
        <v>0</v>
      </c>
      <c r="II24" s="34"/>
      <c r="IJ24" s="34"/>
      <c r="IK24" s="34"/>
      <c r="IL24" s="34"/>
      <c r="IM24" s="34"/>
      <c r="IN24" s="34"/>
      <c r="IO24" s="34"/>
      <c r="IP24" s="36" t="str">
        <v>蒙东</v>
      </c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4" t="str">
        <v>陕西</v>
      </c>
      <c r="JD24" s="34">
        <v>0</v>
      </c>
      <c r="JE24" s="34">
        <v>0</v>
      </c>
      <c r="JF24" s="34">
        <v>0</v>
      </c>
      <c r="JG24" s="34">
        <v>0</v>
      </c>
      <c r="JH24" s="34">
        <v>0</v>
      </c>
      <c r="JI24" s="34"/>
      <c r="JJ24" s="34"/>
      <c r="JK24" s="34"/>
      <c r="JL24" s="34"/>
      <c r="JM24" s="34"/>
      <c r="JN24" s="34"/>
      <c r="JO24" s="34"/>
      <c r="JP24" s="36" t="str">
        <v>甘肃</v>
      </c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4" t="str">
        <v>青海</v>
      </c>
      <c r="KD24" s="34"/>
      <c r="KE24" s="34"/>
      <c r="KF24" s="34"/>
      <c r="KG24" s="34"/>
      <c r="KH24" s="34"/>
      <c r="KI24" s="34"/>
      <c r="KJ24" s="34"/>
      <c r="KK24" s="34"/>
      <c r="KL24" s="34"/>
      <c r="KM24" s="34"/>
      <c r="KN24" s="34"/>
      <c r="KO24" s="34"/>
      <c r="KP24" s="36" t="str">
        <v>宁夏</v>
      </c>
      <c r="KQ24" s="36">
        <v>0</v>
      </c>
      <c r="KR24" s="36">
        <v>0</v>
      </c>
      <c r="KS24" s="36">
        <v>0</v>
      </c>
      <c r="KT24" s="36">
        <v>0</v>
      </c>
      <c r="KU24" s="36">
        <v>0</v>
      </c>
      <c r="KV24" s="36"/>
      <c r="KW24" s="36"/>
      <c r="KX24" s="36"/>
      <c r="KY24" s="36"/>
      <c r="KZ24" s="36"/>
      <c r="LA24" s="36"/>
      <c r="LB24" s="36"/>
      <c r="LC24" s="34" t="str">
        <v>新疆</v>
      </c>
      <c r="LD24" s="34"/>
      <c r="LE24" s="34"/>
      <c r="LF24" s="34"/>
      <c r="LG24" s="34"/>
      <c r="LH24" s="34"/>
      <c r="LI24" s="34"/>
      <c r="LJ24" s="34"/>
      <c r="LK24" s="34"/>
      <c r="LL24" s="34"/>
      <c r="LM24" s="34"/>
      <c r="LN24" s="34"/>
      <c r="LO24" s="34"/>
      <c r="LP24" s="36" t="str">
        <v>重庆</v>
      </c>
      <c r="LQ24" s="36">
        <v>0.008585</v>
      </c>
      <c r="LR24" s="36">
        <v>0.012105</v>
      </c>
      <c r="LS24" s="36">
        <v>0.015681</v>
      </c>
      <c r="LT24" s="36">
        <v>0.010857</v>
      </c>
      <c r="LU24" s="36">
        <v>0.009472</v>
      </c>
      <c r="LV24" s="36"/>
      <c r="LW24" s="36"/>
      <c r="LX24" s="36"/>
      <c r="LY24" s="36"/>
      <c r="LZ24" s="36"/>
      <c r="MA24" s="36"/>
      <c r="MB24" s="36"/>
      <c r="MC24" s="34" t="str">
        <v>四川</v>
      </c>
      <c r="MD24" s="34"/>
      <c r="ME24" s="34"/>
      <c r="MF24" s="34"/>
      <c r="MG24" s="34"/>
      <c r="MH24" s="34"/>
      <c r="MI24" s="34"/>
      <c r="MJ24" s="34"/>
      <c r="MK24" s="34"/>
      <c r="ML24" s="34"/>
      <c r="MM24" s="34"/>
      <c r="MN24" s="34"/>
      <c r="MO24" s="34"/>
      <c r="MP24" s="36" t="str">
        <v>广东</v>
      </c>
      <c r="MQ24" s="36"/>
      <c r="MR24" s="36"/>
      <c r="MS24" s="36"/>
      <c r="MT24" s="36"/>
      <c r="MU24" s="36"/>
      <c r="MV24" s="36"/>
      <c r="MW24" s="36"/>
      <c r="MX24" s="36"/>
      <c r="MY24" s="36"/>
      <c r="MZ24" s="36"/>
      <c r="NA24" s="36"/>
      <c r="NB24" s="36"/>
      <c r="NC24" s="34" t="str">
        <v>广西</v>
      </c>
      <c r="ND24" s="34">
        <v>-0.000092</v>
      </c>
      <c r="NE24" s="34">
        <v>0.001501</v>
      </c>
      <c r="NF24" s="34">
        <v>-0.000376</v>
      </c>
      <c r="NG24" s="34">
        <v>-0.000172</v>
      </c>
      <c r="NH24" s="34">
        <v>-0.000226</v>
      </c>
      <c r="NI24" s="34"/>
      <c r="NJ24" s="34"/>
      <c r="NK24" s="34"/>
      <c r="NL24" s="34"/>
      <c r="NM24" s="34"/>
      <c r="NN24" s="34"/>
      <c r="NO24" s="34"/>
      <c r="NP24" s="36" t="str">
        <v>云南</v>
      </c>
      <c r="NQ24" s="36"/>
      <c r="NR24" s="36"/>
      <c r="NS24" s="36"/>
      <c r="NT24" s="36"/>
      <c r="NU24" s="36"/>
      <c r="NV24" s="36"/>
      <c r="NW24" s="36"/>
      <c r="NX24" s="36"/>
      <c r="NY24" s="36"/>
      <c r="NZ24" s="36"/>
      <c r="OA24" s="36"/>
      <c r="OB24" s="36"/>
      <c r="OC24" s="34" t="str">
        <v>贵州</v>
      </c>
      <c r="OD24" s="34"/>
      <c r="OE24" s="34">
        <v>-0.068142</v>
      </c>
      <c r="OF24" s="34">
        <v>0.008885</v>
      </c>
      <c r="OG24" s="34">
        <v>0.023617</v>
      </c>
      <c r="OH24" s="34">
        <v>0.060434</v>
      </c>
      <c r="OI24" s="34"/>
      <c r="OJ24" s="34"/>
      <c r="OK24" s="34"/>
      <c r="OL24" s="34"/>
      <c r="OM24" s="34"/>
      <c r="ON24" s="34"/>
      <c r="OO24" s="34"/>
      <c r="OP24" s="36" t="str">
        <v>海南</v>
      </c>
      <c r="OQ24" s="36"/>
      <c r="OR24" s="36"/>
      <c r="OS24" s="36"/>
      <c r="OT24" s="36">
        <v>-0.03935</v>
      </c>
      <c r="OU24" s="36">
        <v>-0.043</v>
      </c>
      <c r="OV24" s="36"/>
      <c r="OW24" s="36"/>
      <c r="OX24" s="36"/>
      <c r="OY24" s="36"/>
      <c r="OZ24" s="36"/>
      <c r="PA24" s="36"/>
      <c r="PB24" s="36"/>
    </row>
  </sheetData>
  <legacy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26"/>
  </cols>
  <sheetData>
    <row customHeight="true" ht="19" r="1">
      <c r="A1" s="12" t="str">
        <v>序号</v>
      </c>
      <c r="B1" s="52" t="str">
        <v>省份</v>
      </c>
      <c r="C1" s="52" t="str">
        <v>单一/两部制</v>
      </c>
      <c r="D1" s="52" t="str">
        <v>电压等级</v>
      </c>
      <c r="E1" s="53" t="str">
        <v>输配电价</v>
      </c>
    </row>
    <row customHeight="true" ht="19" r="2">
      <c r="A2" s="15">
        <v>1</v>
      </c>
      <c r="B2" s="20" t="str">
        <v>北京</v>
      </c>
      <c r="C2" s="20" t="str">
        <v>单一制</v>
      </c>
      <c r="D2" s="20" t="str">
        <v>10kV</v>
      </c>
      <c r="E2" s="54">
        <v>0.39</v>
      </c>
    </row>
    <row customHeight="true" ht="19" r="3">
      <c r="A3" s="15">
        <v>2</v>
      </c>
      <c r="B3" s="20" t="str">
        <v>北京</v>
      </c>
      <c r="C3" s="20" t="str">
        <v>单一制</v>
      </c>
      <c r="D3" s="20" t="str">
        <v>35kV</v>
      </c>
      <c r="E3" s="54">
        <v>0.32</v>
      </c>
    </row>
    <row customHeight="true" ht="19" r="4">
      <c r="A4" s="15">
        <v>3</v>
      </c>
      <c r="B4" s="20" t="str">
        <v>北京</v>
      </c>
      <c r="C4" s="20" t="str">
        <v>单一制</v>
      </c>
      <c r="D4" s="20" t="str">
        <v>110kV</v>
      </c>
      <c r="E4" s="54">
        <v>0.32</v>
      </c>
    </row>
    <row customHeight="true" ht="19" r="5">
      <c r="A5" s="15">
        <v>4</v>
      </c>
      <c r="B5" s="20" t="str">
        <v>北京</v>
      </c>
      <c r="C5" s="20" t="str">
        <v>单一制</v>
      </c>
      <c r="D5" s="20" t="str">
        <v>220kV</v>
      </c>
      <c r="E5" s="54">
        <v>0.275</v>
      </c>
    </row>
    <row customHeight="true" ht="19" r="6">
      <c r="A6" s="15">
        <v>5</v>
      </c>
      <c r="B6" s="20" t="str">
        <v>北京</v>
      </c>
      <c r="C6" s="20" t="str">
        <v>两部制</v>
      </c>
      <c r="D6" s="20" t="str">
        <v>10kV</v>
      </c>
      <c r="E6" s="54">
        <v>0.2065</v>
      </c>
    </row>
    <row customHeight="true" ht="19" r="7">
      <c r="A7" s="15">
        <v>6</v>
      </c>
      <c r="B7" s="20" t="str">
        <v>北京</v>
      </c>
      <c r="C7" s="20" t="str">
        <v>两部制</v>
      </c>
      <c r="D7" s="20" t="str">
        <v>35kV</v>
      </c>
      <c r="E7" s="54">
        <v>0.166</v>
      </c>
    </row>
    <row customHeight="true" ht="19" r="8">
      <c r="A8" s="15">
        <v>7</v>
      </c>
      <c r="B8" s="20" t="str">
        <v>北京</v>
      </c>
      <c r="C8" s="20" t="str">
        <v>两部制</v>
      </c>
      <c r="D8" s="20" t="str">
        <v>110kV</v>
      </c>
      <c r="E8" s="54">
        <v>0.166</v>
      </c>
    </row>
    <row customHeight="true" ht="19" r="9">
      <c r="A9" s="15">
        <v>8</v>
      </c>
      <c r="B9" s="20" t="str">
        <v>北京</v>
      </c>
      <c r="C9" s="20" t="str">
        <v>两部制</v>
      </c>
      <c r="D9" s="20" t="str">
        <v>220kV</v>
      </c>
      <c r="E9" s="54">
        <v>0.151</v>
      </c>
    </row>
    <row r="10">
      <c r="A10" s="15">
        <v>9</v>
      </c>
      <c r="B10" s="55" t="str">
        <v>天津</v>
      </c>
      <c r="C10" s="55" t="str">
        <v>单一制</v>
      </c>
      <c r="D10" s="55" t="str">
        <v>10kV</v>
      </c>
      <c r="E10" s="56">
        <v>0.251</v>
      </c>
    </row>
    <row r="11">
      <c r="A11" s="15">
        <v>10</v>
      </c>
      <c r="B11" s="55" t="str">
        <v>天津</v>
      </c>
      <c r="C11" s="55" t="str">
        <v>单一制</v>
      </c>
      <c r="D11" s="55" t="str">
        <v>35kV</v>
      </c>
      <c r="E11" s="56">
        <v>0.1866</v>
      </c>
    </row>
    <row customHeight="true" ht="19" r="12">
      <c r="A12" s="15">
        <v>11</v>
      </c>
      <c r="B12" s="55" t="str">
        <v>天津</v>
      </c>
      <c r="C12" s="55" t="str">
        <v>单一制</v>
      </c>
      <c r="D12" s="55" t="str">
        <v>110kV</v>
      </c>
      <c r="E12" s="56">
        <v>0.1536</v>
      </c>
    </row>
    <row customHeight="true" ht="19" r="13">
      <c r="A13" s="15">
        <v>12</v>
      </c>
      <c r="B13" s="55" t="str">
        <v>天津</v>
      </c>
      <c r="C13" s="55" t="str">
        <v>单一制</v>
      </c>
      <c r="D13" s="55" t="str">
        <v>220kV</v>
      </c>
      <c r="E13" s="56">
        <v>0.1316</v>
      </c>
    </row>
    <row customHeight="true" ht="19" r="14">
      <c r="A14" s="15">
        <v>13</v>
      </c>
      <c r="B14" s="55" t="str">
        <v>天津</v>
      </c>
      <c r="C14" s="55" t="str">
        <v>两部制</v>
      </c>
      <c r="D14" s="55" t="str">
        <v>10kV</v>
      </c>
      <c r="E14" s="56">
        <v>0.1687</v>
      </c>
    </row>
    <row customHeight="true" ht="19" r="15">
      <c r="A15" s="15">
        <v>14</v>
      </c>
      <c r="B15" s="55" t="str">
        <v>天津</v>
      </c>
      <c r="C15" s="55" t="str">
        <v>两部制</v>
      </c>
      <c r="D15" s="55" t="str">
        <v>35kV</v>
      </c>
      <c r="E15" s="56">
        <v>0.1456</v>
      </c>
    </row>
    <row customHeight="true" ht="19" r="16">
      <c r="A16" s="15">
        <v>15</v>
      </c>
      <c r="B16" s="55" t="str">
        <v>天津</v>
      </c>
      <c r="C16" s="55" t="str">
        <v>两部制</v>
      </c>
      <c r="D16" s="55" t="str">
        <v>110kV</v>
      </c>
      <c r="E16" s="56">
        <v>0.1316</v>
      </c>
    </row>
    <row r="17">
      <c r="A17" s="15">
        <v>16</v>
      </c>
      <c r="B17" s="55" t="str">
        <v>天津</v>
      </c>
      <c r="C17" s="55" t="str">
        <v>两部制</v>
      </c>
      <c r="D17" s="55" t="str">
        <v>220kV</v>
      </c>
      <c r="E17" s="56">
        <v>0.1102</v>
      </c>
    </row>
    <row customHeight="true" ht="19" r="18">
      <c r="A18" s="15">
        <v>17</v>
      </c>
      <c r="B18" s="20" t="str">
        <v>河北南网</v>
      </c>
      <c r="C18" s="20" t="str">
        <v>单一制</v>
      </c>
      <c r="D18" s="20" t="str">
        <v>10kV</v>
      </c>
      <c r="E18" s="54">
        <v>0.175</v>
      </c>
    </row>
    <row customHeight="true" ht="19" r="19">
      <c r="A19" s="15">
        <v>18</v>
      </c>
      <c r="B19" s="20" t="str">
        <v>河北南网</v>
      </c>
      <c r="C19" s="20" t="str">
        <v>单一制</v>
      </c>
      <c r="D19" s="20" t="str">
        <v>35kV</v>
      </c>
      <c r="E19" s="54">
        <v>0.155</v>
      </c>
    </row>
    <row customHeight="true" ht="19" r="20">
      <c r="A20" s="15">
        <v>19</v>
      </c>
      <c r="B20" s="20" t="str">
        <v>河北南网</v>
      </c>
      <c r="C20" s="20" t="str">
        <v>单一制</v>
      </c>
      <c r="D20" s="20" t="str">
        <v>110kV</v>
      </c>
      <c r="E20" s="54">
        <v>0.155</v>
      </c>
    </row>
    <row customHeight="true" ht="19" r="21">
      <c r="A21" s="15">
        <v>20</v>
      </c>
      <c r="B21" s="20" t="str">
        <v>河北南网</v>
      </c>
      <c r="C21" s="20" t="str">
        <v>单一制</v>
      </c>
      <c r="D21" s="20" t="str">
        <v>220kV</v>
      </c>
      <c r="E21" s="54">
        <v>0.155</v>
      </c>
    </row>
    <row customHeight="true" ht="19" r="22">
      <c r="A22" s="15">
        <v>21</v>
      </c>
      <c r="B22" s="20" t="str">
        <v>河北南网</v>
      </c>
      <c r="C22" s="20" t="str">
        <v>两部制</v>
      </c>
      <c r="D22" s="20" t="str">
        <v>10kV</v>
      </c>
      <c r="E22" s="54">
        <v>0.1533</v>
      </c>
    </row>
    <row r="23">
      <c r="A23" s="15">
        <v>22</v>
      </c>
      <c r="B23" s="20" t="str">
        <v>河北南网</v>
      </c>
      <c r="C23" s="20" t="str">
        <v>两部制</v>
      </c>
      <c r="D23" s="20" t="str">
        <v>35kV</v>
      </c>
      <c r="E23" s="54">
        <v>0.1333</v>
      </c>
    </row>
    <row r="24">
      <c r="A24" s="15">
        <v>23</v>
      </c>
      <c r="B24" s="20" t="str">
        <v>河北南网</v>
      </c>
      <c r="C24" s="20" t="str">
        <v>两部制</v>
      </c>
      <c r="D24" s="20" t="str">
        <v>110kV</v>
      </c>
      <c r="E24" s="54">
        <v>0.1133</v>
      </c>
    </row>
    <row r="25">
      <c r="A25" s="15">
        <v>24</v>
      </c>
      <c r="B25" s="20" t="str">
        <v>河北南网</v>
      </c>
      <c r="C25" s="20" t="str">
        <v>两部制</v>
      </c>
      <c r="D25" s="20" t="str">
        <v>220kV</v>
      </c>
      <c r="E25" s="54">
        <v>0.0933</v>
      </c>
    </row>
    <row customHeight="true" ht="19" r="26">
      <c r="A26" s="15">
        <v>25</v>
      </c>
      <c r="B26" s="55" t="str">
        <v>冀北</v>
      </c>
      <c r="C26" s="55" t="str">
        <v>单一制</v>
      </c>
      <c r="D26" s="55" t="str">
        <v>10kV</v>
      </c>
      <c r="E26" s="56">
        <v>0.1442</v>
      </c>
    </row>
    <row customHeight="true" ht="19" r="27">
      <c r="A27" s="15">
        <v>26</v>
      </c>
      <c r="B27" s="55" t="str">
        <v>冀北</v>
      </c>
      <c r="C27" s="55" t="str">
        <v>单一制</v>
      </c>
      <c r="D27" s="55" t="str">
        <v>35kV</v>
      </c>
      <c r="E27" s="56">
        <v>0.1282</v>
      </c>
    </row>
    <row customHeight="true" ht="19" r="28">
      <c r="A28" s="15">
        <v>27</v>
      </c>
      <c r="B28" s="55" t="str">
        <v>冀北</v>
      </c>
      <c r="C28" s="55" t="str">
        <v>单一制</v>
      </c>
      <c r="D28" s="55" t="str">
        <v>110kV</v>
      </c>
      <c r="E28" s="56" t="str">
        <v>/</v>
      </c>
    </row>
    <row customHeight="true" ht="19" r="29">
      <c r="A29" s="15">
        <v>28</v>
      </c>
      <c r="B29" s="55" t="str">
        <v>冀北</v>
      </c>
      <c r="C29" s="55" t="str">
        <v>单一制</v>
      </c>
      <c r="D29" s="55" t="str">
        <v>220kV</v>
      </c>
      <c r="E29" s="56" t="str">
        <v>/</v>
      </c>
    </row>
    <row r="30">
      <c r="A30" s="15">
        <v>29</v>
      </c>
      <c r="B30" s="55" t="str">
        <v>冀北</v>
      </c>
      <c r="C30" s="55" t="str">
        <v>两部制</v>
      </c>
      <c r="D30" s="55" t="str">
        <v>10kV</v>
      </c>
      <c r="E30" s="56">
        <v>0.1292</v>
      </c>
    </row>
    <row customHeight="true" ht="19" r="31">
      <c r="A31" s="15">
        <v>30</v>
      </c>
      <c r="B31" s="55" t="str">
        <v>冀北</v>
      </c>
      <c r="C31" s="55" t="str">
        <v>两部制</v>
      </c>
      <c r="D31" s="55" t="str">
        <v>35kV</v>
      </c>
      <c r="E31" s="56">
        <v>0.1132</v>
      </c>
    </row>
    <row r="32">
      <c r="A32" s="15">
        <v>31</v>
      </c>
      <c r="B32" s="55" t="str">
        <v>冀北</v>
      </c>
      <c r="C32" s="55" t="str">
        <v>两部制</v>
      </c>
      <c r="D32" s="55" t="str">
        <v>110kV</v>
      </c>
      <c r="E32" s="56">
        <v>0.0972</v>
      </c>
    </row>
    <row r="33">
      <c r="A33" s="15">
        <v>32</v>
      </c>
      <c r="B33" s="55" t="str">
        <v>冀北</v>
      </c>
      <c r="C33" s="55" t="str">
        <v>两部制</v>
      </c>
      <c r="D33" s="55" t="str">
        <v>220kV</v>
      </c>
      <c r="E33" s="56">
        <v>0.0912</v>
      </c>
    </row>
    <row customHeight="true" ht="19" r="34">
      <c r="A34" s="15">
        <v>33</v>
      </c>
      <c r="B34" s="20" t="str">
        <v>山东</v>
      </c>
      <c r="C34" s="20" t="str">
        <v>单一制</v>
      </c>
      <c r="D34" s="20" t="str">
        <v>10kV</v>
      </c>
      <c r="E34" s="54">
        <v>0.2069</v>
      </c>
    </row>
    <row customHeight="true" ht="19" r="35">
      <c r="A35" s="15">
        <v>34</v>
      </c>
      <c r="B35" s="20" t="str">
        <v>山东</v>
      </c>
      <c r="C35" s="20" t="str">
        <v>单一制</v>
      </c>
      <c r="D35" s="20" t="str">
        <v>35kV</v>
      </c>
      <c r="E35" s="54">
        <v>0.1919</v>
      </c>
    </row>
    <row customHeight="true" ht="19" r="36">
      <c r="A36" s="15">
        <v>35</v>
      </c>
      <c r="B36" s="20" t="str">
        <v>山东</v>
      </c>
      <c r="C36" s="20" t="str">
        <v>单一制</v>
      </c>
      <c r="D36" s="20" t="str">
        <v>110kV</v>
      </c>
      <c r="E36" s="54">
        <v>0.1919</v>
      </c>
    </row>
    <row customHeight="true" ht="19" r="37">
      <c r="A37" s="15">
        <v>36</v>
      </c>
      <c r="B37" s="20" t="str">
        <v>山东</v>
      </c>
      <c r="C37" s="20" t="str">
        <v>单一制</v>
      </c>
      <c r="D37" s="20" t="str">
        <v>220kV</v>
      </c>
      <c r="E37" s="54">
        <v>0.1919</v>
      </c>
    </row>
    <row r="38">
      <c r="A38" s="15">
        <v>37</v>
      </c>
      <c r="B38" s="20" t="str">
        <v>山东</v>
      </c>
      <c r="C38" s="20" t="str">
        <v>两部制</v>
      </c>
      <c r="D38" s="20" t="str">
        <v>10kV</v>
      </c>
      <c r="E38" s="54">
        <v>0.1491</v>
      </c>
    </row>
    <row customHeight="true" ht="19" r="39">
      <c r="A39" s="15">
        <v>38</v>
      </c>
      <c r="B39" s="20" t="str">
        <v>山东</v>
      </c>
      <c r="C39" s="20" t="str">
        <v>两部制</v>
      </c>
      <c r="D39" s="20" t="str">
        <v>35kV</v>
      </c>
      <c r="E39" s="54">
        <v>0.1341</v>
      </c>
    </row>
    <row r="40">
      <c r="A40" s="15">
        <v>39</v>
      </c>
      <c r="B40" s="20" t="str">
        <v>山东</v>
      </c>
      <c r="C40" s="20" t="str">
        <v>两部制</v>
      </c>
      <c r="D40" s="20" t="str">
        <v>110kV</v>
      </c>
      <c r="E40" s="54">
        <v>0.1191</v>
      </c>
    </row>
    <row r="41">
      <c r="A41" s="15">
        <v>40</v>
      </c>
      <c r="B41" s="20" t="str">
        <v>山东</v>
      </c>
      <c r="C41" s="20" t="str">
        <v>两部制</v>
      </c>
      <c r="D41" s="20" t="str">
        <v>220kV</v>
      </c>
      <c r="E41" s="54">
        <v>0.1041</v>
      </c>
    </row>
    <row customHeight="true" ht="19" r="42">
      <c r="A42" s="15">
        <v>41</v>
      </c>
      <c r="B42" s="55" t="str">
        <v>山西</v>
      </c>
      <c r="C42" s="55" t="str">
        <v>单一制</v>
      </c>
      <c r="D42" s="55" t="str">
        <v>10kV</v>
      </c>
      <c r="E42" s="56">
        <v>0.1256</v>
      </c>
    </row>
    <row customHeight="true" ht="19" r="43">
      <c r="A43" s="15">
        <v>42</v>
      </c>
      <c r="B43" s="55" t="str">
        <v>山西</v>
      </c>
      <c r="C43" s="55" t="str">
        <v>单一制</v>
      </c>
      <c r="D43" s="55" t="str">
        <v>35kV</v>
      </c>
      <c r="E43" s="56">
        <v>0.1106</v>
      </c>
    </row>
    <row customHeight="true" ht="19" r="44">
      <c r="A44" s="15">
        <v>43</v>
      </c>
      <c r="B44" s="55" t="str">
        <v>山西</v>
      </c>
      <c r="C44" s="55" t="str">
        <v>单一制</v>
      </c>
      <c r="D44" s="55" t="str">
        <v>110kV</v>
      </c>
      <c r="E44" s="56" t="str">
        <v>/</v>
      </c>
    </row>
    <row customHeight="true" ht="19" r="45">
      <c r="A45" s="15">
        <v>44</v>
      </c>
      <c r="B45" s="55" t="str">
        <v>山西</v>
      </c>
      <c r="C45" s="55" t="str">
        <v>单一制</v>
      </c>
      <c r="D45" s="55" t="str">
        <v>220kV</v>
      </c>
      <c r="E45" s="56" t="str">
        <v>/</v>
      </c>
    </row>
    <row r="46">
      <c r="A46" s="15">
        <v>45</v>
      </c>
      <c r="B46" s="55" t="str">
        <v>山西</v>
      </c>
      <c r="C46" s="55" t="str">
        <v>两部制</v>
      </c>
      <c r="D46" s="55" t="str">
        <v>10kV</v>
      </c>
      <c r="E46" s="56">
        <v>0.104</v>
      </c>
    </row>
    <row customHeight="true" ht="19" r="47">
      <c r="A47" s="15">
        <v>46</v>
      </c>
      <c r="B47" s="55" t="str">
        <v>山西</v>
      </c>
      <c r="C47" s="55" t="str">
        <v>两部制</v>
      </c>
      <c r="D47" s="55" t="str">
        <v>35kV</v>
      </c>
      <c r="E47" s="56">
        <v>0.074</v>
      </c>
    </row>
    <row r="48">
      <c r="A48" s="15">
        <v>47</v>
      </c>
      <c r="B48" s="55" t="str">
        <v>山西</v>
      </c>
      <c r="C48" s="55" t="str">
        <v>两部制</v>
      </c>
      <c r="D48" s="55" t="str">
        <v>110kV</v>
      </c>
      <c r="E48" s="56">
        <v>0.049</v>
      </c>
    </row>
    <row r="49">
      <c r="A49" s="15">
        <v>48</v>
      </c>
      <c r="B49" s="55" t="str">
        <v>山西</v>
      </c>
      <c r="C49" s="55" t="str">
        <v>两部制</v>
      </c>
      <c r="D49" s="55" t="str">
        <v>220kV</v>
      </c>
      <c r="E49" s="56">
        <v>0.029</v>
      </c>
    </row>
    <row customHeight="true" ht="19" r="50">
      <c r="A50" s="15">
        <v>49</v>
      </c>
      <c r="B50" s="20" t="str">
        <v>蒙西</v>
      </c>
      <c r="C50" s="20" t="str">
        <v>单一制</v>
      </c>
      <c r="D50" s="20" t="str">
        <v>10kV</v>
      </c>
      <c r="E50" s="54">
        <v>0.1289</v>
      </c>
    </row>
    <row customHeight="true" ht="19" r="51">
      <c r="A51" s="15">
        <v>50</v>
      </c>
      <c r="B51" s="20" t="str">
        <v>蒙西</v>
      </c>
      <c r="C51" s="20" t="str">
        <v>单一制</v>
      </c>
      <c r="D51" s="20" t="str">
        <v>35kV</v>
      </c>
      <c r="E51" s="54">
        <v>0.1139</v>
      </c>
    </row>
    <row customHeight="true" ht="19" r="52">
      <c r="A52" s="15">
        <v>51</v>
      </c>
      <c r="B52" s="20" t="str">
        <v>蒙西</v>
      </c>
      <c r="C52" s="20" t="str">
        <v>单一制</v>
      </c>
      <c r="D52" s="20" t="str">
        <v>110kV</v>
      </c>
      <c r="E52" s="54" t="str">
        <v>/</v>
      </c>
    </row>
    <row customHeight="true" ht="19" r="53">
      <c r="A53" s="15">
        <v>52</v>
      </c>
      <c r="B53" s="20" t="str">
        <v>蒙西</v>
      </c>
      <c r="C53" s="20" t="str">
        <v>单一制</v>
      </c>
      <c r="D53" s="20" t="str">
        <v>220kV</v>
      </c>
      <c r="E53" s="54" t="str">
        <v>/</v>
      </c>
    </row>
    <row r="54">
      <c r="A54" s="15">
        <v>53</v>
      </c>
      <c r="B54" s="20" t="str">
        <v>蒙西</v>
      </c>
      <c r="C54" s="20" t="str">
        <v>两部制</v>
      </c>
      <c r="D54" s="20" t="str">
        <v>10kV</v>
      </c>
      <c r="E54" s="54">
        <v>0.0795</v>
      </c>
    </row>
    <row customHeight="true" ht="19" r="55">
      <c r="A55" s="15">
        <v>54</v>
      </c>
      <c r="B55" s="20" t="str">
        <v>蒙西</v>
      </c>
      <c r="C55" s="20" t="str">
        <v>两部制</v>
      </c>
      <c r="D55" s="20" t="str">
        <v>35kV</v>
      </c>
      <c r="E55" s="54">
        <v>0.0645</v>
      </c>
    </row>
    <row r="56">
      <c r="A56" s="15">
        <v>55</v>
      </c>
      <c r="B56" s="20" t="str">
        <v>蒙西</v>
      </c>
      <c r="C56" s="20" t="str">
        <v>两部制</v>
      </c>
      <c r="D56" s="20" t="str">
        <v>110kV</v>
      </c>
      <c r="E56" s="54">
        <v>0.0525</v>
      </c>
    </row>
    <row r="57">
      <c r="A57" s="15">
        <v>56</v>
      </c>
      <c r="B57" s="20" t="str">
        <v>蒙西</v>
      </c>
      <c r="C57" s="20" t="str">
        <v>两部制</v>
      </c>
      <c r="D57" s="20" t="str">
        <v>220kV</v>
      </c>
      <c r="E57" s="54">
        <v>0.0455</v>
      </c>
    </row>
    <row customHeight="true" ht="19" r="58">
      <c r="A58" s="15">
        <v>57</v>
      </c>
      <c r="B58" s="55" t="str">
        <v>上海</v>
      </c>
      <c r="C58" s="55" t="str">
        <v>单一制</v>
      </c>
      <c r="D58" s="55" t="str">
        <v>10kV</v>
      </c>
      <c r="E58" s="56">
        <v>0.2305</v>
      </c>
    </row>
    <row customHeight="true" ht="19" r="59">
      <c r="A59" s="15">
        <v>58</v>
      </c>
      <c r="B59" s="55" t="str">
        <v>上海</v>
      </c>
      <c r="C59" s="55" t="str">
        <v>单一制</v>
      </c>
      <c r="D59" s="55" t="str">
        <v>35kV</v>
      </c>
      <c r="E59" s="56">
        <v>0.1859</v>
      </c>
    </row>
    <row customHeight="true" ht="19" r="60">
      <c r="A60" s="15">
        <v>59</v>
      </c>
      <c r="B60" s="55" t="str">
        <v>上海</v>
      </c>
      <c r="C60" s="55" t="str">
        <v>单一制</v>
      </c>
      <c r="D60" s="55" t="str">
        <v>110kV</v>
      </c>
      <c r="E60" s="56" t="str">
        <v>/</v>
      </c>
    </row>
    <row customHeight="true" ht="19" r="61">
      <c r="A61" s="15">
        <v>60</v>
      </c>
      <c r="B61" s="55" t="str">
        <v>上海</v>
      </c>
      <c r="C61" s="55" t="str">
        <v>单一制</v>
      </c>
      <c r="D61" s="55" t="str">
        <v>220kV</v>
      </c>
      <c r="E61" s="56" t="str">
        <v>/</v>
      </c>
    </row>
    <row r="62">
      <c r="A62" s="15">
        <v>61</v>
      </c>
      <c r="B62" s="55" t="str">
        <v>上海</v>
      </c>
      <c r="C62" s="55" t="str">
        <v>两部制</v>
      </c>
      <c r="D62" s="55" t="str">
        <v>10kV</v>
      </c>
      <c r="E62" s="56">
        <v>0.2039</v>
      </c>
    </row>
    <row customHeight="true" ht="19" r="63">
      <c r="A63" s="15">
        <v>62</v>
      </c>
      <c r="B63" s="55" t="str">
        <v>上海</v>
      </c>
      <c r="C63" s="55" t="str">
        <v>两部制</v>
      </c>
      <c r="D63" s="55" t="str">
        <v>35kV</v>
      </c>
      <c r="E63" s="56">
        <v>0.1547</v>
      </c>
    </row>
    <row r="64">
      <c r="A64" s="15">
        <v>63</v>
      </c>
      <c r="B64" s="55" t="str">
        <v>上海</v>
      </c>
      <c r="C64" s="55" t="str">
        <v>两部制</v>
      </c>
      <c r="D64" s="55" t="str">
        <v>110kV</v>
      </c>
      <c r="E64" s="56">
        <v>0.1251</v>
      </c>
    </row>
    <row r="65">
      <c r="A65" s="15">
        <v>64</v>
      </c>
      <c r="B65" s="55" t="str">
        <v>上海</v>
      </c>
      <c r="C65" s="55" t="str">
        <v>两部制</v>
      </c>
      <c r="D65" s="55" t="str">
        <v>220kV</v>
      </c>
      <c r="E65" s="56">
        <v>0.1127</v>
      </c>
    </row>
    <row customHeight="true" ht="19" r="66">
      <c r="A66" s="15">
        <v>65</v>
      </c>
      <c r="B66" s="20" t="str">
        <v>江苏</v>
      </c>
      <c r="C66" s="20" t="str">
        <v>单一制</v>
      </c>
      <c r="D66" s="20" t="str">
        <v>10kV</v>
      </c>
      <c r="E66" s="54">
        <v>0.2134</v>
      </c>
    </row>
    <row customHeight="true" ht="19" r="67">
      <c r="A67" s="15">
        <v>66</v>
      </c>
      <c r="B67" s="20" t="str">
        <v>江苏</v>
      </c>
      <c r="C67" s="20" t="str">
        <v>单一制</v>
      </c>
      <c r="D67" s="20" t="str">
        <v>35kV</v>
      </c>
      <c r="E67" s="54">
        <v>0.1884</v>
      </c>
    </row>
    <row customHeight="true" ht="19" r="68">
      <c r="A68" s="15">
        <v>67</v>
      </c>
      <c r="B68" s="20" t="str">
        <v>江苏</v>
      </c>
      <c r="C68" s="20" t="str">
        <v>单一制</v>
      </c>
      <c r="D68" s="20" t="str">
        <v>110kV</v>
      </c>
      <c r="E68" s="54" t="str">
        <v>/</v>
      </c>
    </row>
    <row customHeight="true" ht="19" r="69">
      <c r="A69" s="15">
        <v>68</v>
      </c>
      <c r="B69" s="20" t="str">
        <v>江苏</v>
      </c>
      <c r="C69" s="20" t="str">
        <v>单一制</v>
      </c>
      <c r="D69" s="20" t="str">
        <v>220kV</v>
      </c>
      <c r="E69" s="54" t="str">
        <v>/</v>
      </c>
    </row>
    <row r="70">
      <c r="A70" s="15">
        <v>69</v>
      </c>
      <c r="B70" s="20" t="str">
        <v>江苏</v>
      </c>
      <c r="C70" s="20" t="str">
        <v>两部制</v>
      </c>
      <c r="D70" s="20" t="str">
        <v>10kV</v>
      </c>
      <c r="E70" s="54">
        <v>0.1357</v>
      </c>
    </row>
    <row customHeight="true" ht="19" r="71">
      <c r="A71" s="15">
        <v>70</v>
      </c>
      <c r="B71" s="20" t="str">
        <v>江苏</v>
      </c>
      <c r="C71" s="20" t="str">
        <v>两部制</v>
      </c>
      <c r="D71" s="20" t="str">
        <v>35kV</v>
      </c>
      <c r="E71" s="54">
        <v>0.1107</v>
      </c>
    </row>
    <row r="72">
      <c r="A72" s="15">
        <v>71</v>
      </c>
      <c r="B72" s="20" t="str">
        <v>江苏</v>
      </c>
      <c r="C72" s="20" t="str">
        <v>两部制</v>
      </c>
      <c r="D72" s="20" t="str">
        <v>110kV</v>
      </c>
      <c r="E72" s="54">
        <v>0.0857</v>
      </c>
    </row>
    <row r="73">
      <c r="A73" s="15">
        <v>72</v>
      </c>
      <c r="B73" s="20" t="str">
        <v>江苏</v>
      </c>
      <c r="C73" s="20" t="str">
        <v>两部制</v>
      </c>
      <c r="D73" s="20" t="str">
        <v>220kV</v>
      </c>
      <c r="E73" s="54">
        <v>0.0597</v>
      </c>
    </row>
    <row customHeight="true" ht="19" r="74">
      <c r="A74" s="15">
        <v>73</v>
      </c>
      <c r="B74" s="55" t="str">
        <v>浙江</v>
      </c>
      <c r="C74" s="55" t="str">
        <v>单一制</v>
      </c>
      <c r="D74" s="55" t="str">
        <v>10kV</v>
      </c>
      <c r="E74" s="56">
        <v>0.2144</v>
      </c>
    </row>
    <row customHeight="true" ht="19" r="75">
      <c r="A75" s="15">
        <v>74</v>
      </c>
      <c r="B75" s="55" t="str">
        <v>浙江</v>
      </c>
      <c r="C75" s="55" t="str">
        <v>单一制</v>
      </c>
      <c r="D75" s="55" t="str">
        <v>35kV</v>
      </c>
      <c r="E75" s="56">
        <v>0.177</v>
      </c>
    </row>
    <row customHeight="true" ht="19" r="76">
      <c r="A76" s="15">
        <v>75</v>
      </c>
      <c r="B76" s="55" t="str">
        <v>浙江</v>
      </c>
      <c r="C76" s="55" t="str">
        <v>单一制</v>
      </c>
      <c r="D76" s="55" t="str">
        <v>110kV</v>
      </c>
      <c r="E76" s="56" t="str">
        <v>/</v>
      </c>
    </row>
    <row customHeight="true" ht="19" r="77">
      <c r="A77" s="15">
        <v>76</v>
      </c>
      <c r="B77" s="55" t="str">
        <v>浙江</v>
      </c>
      <c r="C77" s="55" t="str">
        <v>单一制</v>
      </c>
      <c r="D77" s="55" t="str">
        <v>220kV</v>
      </c>
      <c r="E77" s="56" t="str">
        <v>/</v>
      </c>
    </row>
    <row r="78">
      <c r="A78" s="15">
        <v>77</v>
      </c>
      <c r="B78" s="55" t="str">
        <v>浙江</v>
      </c>
      <c r="C78" s="55" t="str">
        <v>两部制</v>
      </c>
      <c r="D78" s="55" t="str">
        <v>10kV</v>
      </c>
      <c r="E78" s="56">
        <v>0.126</v>
      </c>
    </row>
    <row customHeight="true" ht="19" r="79">
      <c r="A79" s="15">
        <v>78</v>
      </c>
      <c r="B79" s="55" t="str">
        <v>浙江</v>
      </c>
      <c r="C79" s="55" t="str">
        <v>两部制</v>
      </c>
      <c r="D79" s="55" t="str">
        <v>35kV</v>
      </c>
      <c r="E79" s="56">
        <v>0.0955</v>
      </c>
    </row>
    <row r="80">
      <c r="A80" s="15">
        <v>79</v>
      </c>
      <c r="B80" s="55" t="str">
        <v>浙江</v>
      </c>
      <c r="C80" s="55" t="str">
        <v>两部制</v>
      </c>
      <c r="D80" s="55" t="str">
        <v>110kV</v>
      </c>
      <c r="E80" s="56">
        <v>0.0791</v>
      </c>
    </row>
    <row r="81">
      <c r="A81" s="15">
        <v>80</v>
      </c>
      <c r="B81" s="55" t="str">
        <v>浙江</v>
      </c>
      <c r="C81" s="55" t="str">
        <v>两部制</v>
      </c>
      <c r="D81" s="55" t="str">
        <v>220kV</v>
      </c>
      <c r="E81" s="56">
        <v>0.0688</v>
      </c>
    </row>
    <row customHeight="true" ht="19" r="82">
      <c r="A82" s="15">
        <v>81</v>
      </c>
      <c r="B82" s="20" t="str">
        <v>安徽</v>
      </c>
      <c r="C82" s="20" t="str">
        <v>单一制</v>
      </c>
      <c r="D82" s="20" t="str">
        <v>10kV</v>
      </c>
      <c r="E82" s="54">
        <v>0.1614</v>
      </c>
    </row>
    <row customHeight="true" ht="19" r="83">
      <c r="A83" s="15">
        <v>82</v>
      </c>
      <c r="B83" s="20" t="str">
        <v>安徽</v>
      </c>
      <c r="C83" s="20" t="str">
        <v>单一制</v>
      </c>
      <c r="D83" s="20" t="str">
        <v>35kV</v>
      </c>
      <c r="E83" s="54">
        <v>0.1414</v>
      </c>
    </row>
    <row customHeight="true" ht="19" r="84">
      <c r="A84" s="15">
        <v>83</v>
      </c>
      <c r="B84" s="20" t="str">
        <v>安徽</v>
      </c>
      <c r="C84" s="20" t="str">
        <v>单一制</v>
      </c>
      <c r="D84" s="20" t="str">
        <v>110kV</v>
      </c>
      <c r="E84" s="54" t="str">
        <v>/</v>
      </c>
    </row>
    <row customHeight="true" ht="19" r="85">
      <c r="A85" s="15">
        <v>84</v>
      </c>
      <c r="B85" s="20" t="str">
        <v>安徽</v>
      </c>
      <c r="C85" s="20" t="str">
        <v>单一制</v>
      </c>
      <c r="D85" s="20" t="str">
        <v>220kV</v>
      </c>
      <c r="E85" s="54" t="str">
        <v>/</v>
      </c>
    </row>
    <row r="86">
      <c r="A86" s="15">
        <v>85</v>
      </c>
      <c r="B86" s="20" t="str">
        <v>安徽</v>
      </c>
      <c r="C86" s="20" t="str">
        <v>两部制</v>
      </c>
      <c r="D86" s="20" t="str">
        <v>10kV</v>
      </c>
      <c r="E86" s="54">
        <v>0.1428</v>
      </c>
    </row>
    <row customHeight="true" ht="19" r="87">
      <c r="A87" s="15">
        <v>86</v>
      </c>
      <c r="B87" s="20" t="str">
        <v>安徽</v>
      </c>
      <c r="C87" s="20" t="str">
        <v>两部制</v>
      </c>
      <c r="D87" s="20" t="str">
        <v>35kV</v>
      </c>
      <c r="E87" s="54">
        <v>0.1175</v>
      </c>
    </row>
    <row r="88">
      <c r="A88" s="15">
        <v>87</v>
      </c>
      <c r="B88" s="20" t="str">
        <v>安徽</v>
      </c>
      <c r="C88" s="20" t="str">
        <v>两部制</v>
      </c>
      <c r="D88" s="20" t="str">
        <v>110kV</v>
      </c>
      <c r="E88" s="54">
        <v>0.0924</v>
      </c>
    </row>
    <row r="89">
      <c r="A89" s="15">
        <v>88</v>
      </c>
      <c r="B89" s="20" t="str">
        <v>安徽</v>
      </c>
      <c r="C89" s="20" t="str">
        <v>两部制</v>
      </c>
      <c r="D89" s="20" t="str">
        <v>220kV</v>
      </c>
      <c r="E89" s="54">
        <v>0.0673</v>
      </c>
    </row>
    <row customHeight="true" ht="19" r="90">
      <c r="A90" s="15">
        <v>89</v>
      </c>
      <c r="B90" s="55" t="str">
        <v>福建</v>
      </c>
      <c r="C90" s="55" t="str">
        <v>单一制</v>
      </c>
      <c r="D90" s="55" t="str">
        <v>10kV</v>
      </c>
      <c r="E90" s="56">
        <v>0.1633</v>
      </c>
    </row>
    <row customHeight="true" ht="19" r="91">
      <c r="A91" s="15">
        <v>90</v>
      </c>
      <c r="B91" s="55" t="str">
        <v>福建</v>
      </c>
      <c r="C91" s="55" t="str">
        <v>单一制</v>
      </c>
      <c r="D91" s="55" t="str">
        <v>35kV</v>
      </c>
      <c r="E91" s="56">
        <v>0.1433</v>
      </c>
    </row>
    <row customHeight="true" ht="19" r="92">
      <c r="A92" s="15">
        <v>91</v>
      </c>
      <c r="B92" s="55" t="str">
        <v>福建</v>
      </c>
      <c r="C92" s="55" t="str">
        <v>单一制</v>
      </c>
      <c r="D92" s="55" t="str">
        <v>110kV</v>
      </c>
      <c r="E92" s="56">
        <v>0.1233</v>
      </c>
    </row>
    <row customHeight="true" ht="19" r="93">
      <c r="A93" s="15">
        <v>92</v>
      </c>
      <c r="B93" s="55" t="str">
        <v>福建</v>
      </c>
      <c r="C93" s="55" t="str">
        <v>单一制</v>
      </c>
      <c r="D93" s="55" t="str">
        <v>220kV</v>
      </c>
      <c r="E93" s="56">
        <v>0.1033</v>
      </c>
    </row>
    <row r="94">
      <c r="A94" s="15">
        <v>93</v>
      </c>
      <c r="B94" s="55" t="str">
        <v>福建</v>
      </c>
      <c r="C94" s="55" t="str">
        <v>两部制</v>
      </c>
      <c r="D94" s="55" t="str">
        <v>10kV</v>
      </c>
      <c r="E94" s="56">
        <v>0.1292</v>
      </c>
    </row>
    <row customHeight="true" ht="19" r="95">
      <c r="A95" s="15">
        <v>94</v>
      </c>
      <c r="B95" s="55" t="str">
        <v>福建</v>
      </c>
      <c r="C95" s="55" t="str">
        <v>两部制</v>
      </c>
      <c r="D95" s="55" t="str">
        <v>35kV</v>
      </c>
      <c r="E95" s="56">
        <v>0.1092</v>
      </c>
    </row>
    <row r="96">
      <c r="A96" s="15">
        <v>95</v>
      </c>
      <c r="B96" s="55" t="str">
        <v>福建</v>
      </c>
      <c r="C96" s="55" t="str">
        <v>两部制</v>
      </c>
      <c r="D96" s="55" t="str">
        <v>110kV</v>
      </c>
      <c r="E96" s="56">
        <v>0.0842</v>
      </c>
    </row>
    <row r="97">
      <c r="A97" s="15">
        <v>96</v>
      </c>
      <c r="B97" s="55" t="str">
        <v>福建</v>
      </c>
      <c r="C97" s="55" t="str">
        <v>两部制</v>
      </c>
      <c r="D97" s="55" t="str">
        <v>220kV</v>
      </c>
      <c r="E97" s="56">
        <v>0.0592</v>
      </c>
    </row>
    <row customHeight="true" ht="19" r="98">
      <c r="A98" s="15">
        <v>97</v>
      </c>
      <c r="B98" s="20" t="str">
        <v>湖北</v>
      </c>
      <c r="C98" s="20" t="str">
        <v>单一制</v>
      </c>
      <c r="D98" s="20" t="str">
        <v>10kV</v>
      </c>
      <c r="E98" s="54">
        <v>0.1903</v>
      </c>
    </row>
    <row customHeight="true" ht="19" r="99">
      <c r="A99" s="15">
        <v>98</v>
      </c>
      <c r="B99" s="20" t="str">
        <v>湖北</v>
      </c>
      <c r="C99" s="20" t="str">
        <v>单一制</v>
      </c>
      <c r="D99" s="20" t="str">
        <v>35kV</v>
      </c>
      <c r="E99" s="54">
        <v>0.1703</v>
      </c>
    </row>
    <row customHeight="true" ht="19" r="100">
      <c r="A100" s="15">
        <v>99</v>
      </c>
      <c r="B100" s="20" t="str">
        <v>湖北</v>
      </c>
      <c r="C100" s="20" t="str">
        <v>单一制</v>
      </c>
      <c r="D100" s="20" t="str">
        <v>110kV</v>
      </c>
      <c r="E100" s="54" t="str">
        <v>/</v>
      </c>
    </row>
    <row customHeight="true" ht="19" r="101">
      <c r="A101" s="15">
        <v>100</v>
      </c>
      <c r="B101" s="20" t="str">
        <v>湖北</v>
      </c>
      <c r="C101" s="20" t="str">
        <v>单一制</v>
      </c>
      <c r="D101" s="20" t="str">
        <v>220kV</v>
      </c>
      <c r="E101" s="54" t="str">
        <v>/</v>
      </c>
    </row>
    <row r="102">
      <c r="A102" s="15">
        <v>101</v>
      </c>
      <c r="B102" s="20" t="str">
        <v>湖北</v>
      </c>
      <c r="C102" s="20" t="str">
        <v>两部制</v>
      </c>
      <c r="D102" s="20" t="str">
        <v>10kV</v>
      </c>
      <c r="E102" s="54">
        <v>0.1263</v>
      </c>
    </row>
    <row customHeight="true" ht="19" r="103">
      <c r="A103" s="15">
        <v>102</v>
      </c>
      <c r="B103" s="20" t="str">
        <v>湖北</v>
      </c>
      <c r="C103" s="20" t="str">
        <v>两部制</v>
      </c>
      <c r="D103" s="20" t="str">
        <v>35kV</v>
      </c>
      <c r="E103" s="54">
        <v>0.1065</v>
      </c>
    </row>
    <row r="104">
      <c r="A104" s="15">
        <v>103</v>
      </c>
      <c r="B104" s="20" t="str">
        <v>湖北</v>
      </c>
      <c r="C104" s="20" t="str">
        <v>两部制</v>
      </c>
      <c r="D104" s="20" t="str">
        <v>110kV</v>
      </c>
      <c r="E104" s="54">
        <v>0.0884</v>
      </c>
    </row>
    <row r="105">
      <c r="A105" s="15">
        <v>104</v>
      </c>
      <c r="B105" s="20" t="str">
        <v>湖北</v>
      </c>
      <c r="C105" s="20" t="str">
        <v>两部制</v>
      </c>
      <c r="D105" s="20" t="str">
        <v>220kV</v>
      </c>
      <c r="E105" s="54">
        <v>0.0694</v>
      </c>
    </row>
    <row customHeight="true" ht="19" r="106">
      <c r="A106" s="15">
        <v>105</v>
      </c>
      <c r="B106" s="55" t="str">
        <v>河南</v>
      </c>
      <c r="C106" s="55" t="str">
        <v>单一制</v>
      </c>
      <c r="D106" s="55" t="str">
        <v>10kV</v>
      </c>
      <c r="E106" s="56">
        <v>0.168</v>
      </c>
    </row>
    <row customHeight="true" ht="19" r="107">
      <c r="A107" s="15">
        <v>106</v>
      </c>
      <c r="B107" s="55" t="str">
        <v>河南</v>
      </c>
      <c r="C107" s="55" t="str">
        <v>单一制</v>
      </c>
      <c r="D107" s="55" t="str">
        <v>35kV</v>
      </c>
      <c r="E107" s="56">
        <v>0.1412</v>
      </c>
    </row>
    <row customHeight="true" ht="19" r="108">
      <c r="A108" s="15">
        <v>107</v>
      </c>
      <c r="B108" s="55" t="str">
        <v>河南</v>
      </c>
      <c r="C108" s="55" t="str">
        <v>单一制</v>
      </c>
      <c r="D108" s="55" t="str">
        <v>110kV</v>
      </c>
      <c r="E108" s="56">
        <v>0.1145</v>
      </c>
    </row>
    <row customHeight="true" ht="19" r="109">
      <c r="A109" s="15">
        <v>108</v>
      </c>
      <c r="B109" s="55" t="str">
        <v>河南</v>
      </c>
      <c r="C109" s="55" t="str">
        <v>单一制</v>
      </c>
      <c r="D109" s="55" t="str">
        <v>220kV</v>
      </c>
      <c r="E109" s="56">
        <v>0.1145</v>
      </c>
    </row>
    <row r="110">
      <c r="A110" s="15">
        <v>109</v>
      </c>
      <c r="B110" s="55" t="str">
        <v>河南</v>
      </c>
      <c r="C110" s="55" t="str">
        <v>两部制</v>
      </c>
      <c r="D110" s="55" t="str">
        <v>10kV</v>
      </c>
      <c r="E110" s="56">
        <v>0.168</v>
      </c>
    </row>
    <row customHeight="true" ht="19" r="111">
      <c r="A111" s="15">
        <v>110</v>
      </c>
      <c r="B111" s="55" t="str">
        <v>河南</v>
      </c>
      <c r="C111" s="55" t="str">
        <v>两部制</v>
      </c>
      <c r="D111" s="55" t="str">
        <v>35kV</v>
      </c>
      <c r="E111" s="56">
        <v>0.1456</v>
      </c>
    </row>
    <row r="112">
      <c r="A112" s="15">
        <v>111</v>
      </c>
      <c r="B112" s="55" t="str">
        <v>河南</v>
      </c>
      <c r="C112" s="55" t="str">
        <v>两部制</v>
      </c>
      <c r="D112" s="55" t="str">
        <v>110kV</v>
      </c>
      <c r="E112" s="56">
        <v>0.121</v>
      </c>
    </row>
    <row r="113">
      <c r="A113" s="15">
        <v>112</v>
      </c>
      <c r="B113" s="55" t="str">
        <v>河南</v>
      </c>
      <c r="C113" s="55" t="str">
        <v>两部制</v>
      </c>
      <c r="D113" s="55" t="str">
        <v>220kV</v>
      </c>
      <c r="E113" s="56">
        <v>0.103</v>
      </c>
    </row>
    <row customHeight="true" ht="19" r="114">
      <c r="A114" s="15">
        <v>113</v>
      </c>
      <c r="B114" s="20" t="str">
        <v>湖南</v>
      </c>
      <c r="C114" s="20" t="str">
        <v>单一制</v>
      </c>
      <c r="D114" s="20" t="str">
        <v>10kV</v>
      </c>
      <c r="E114" s="54">
        <v>0.2358</v>
      </c>
    </row>
    <row customHeight="true" ht="19" r="115">
      <c r="A115" s="15">
        <v>114</v>
      </c>
      <c r="B115" s="20" t="str">
        <v>湖南</v>
      </c>
      <c r="C115" s="20" t="str">
        <v>单一制</v>
      </c>
      <c r="D115" s="20" t="str">
        <v>35kV</v>
      </c>
      <c r="E115" s="54">
        <v>0.2158</v>
      </c>
    </row>
    <row customHeight="true" ht="19" r="116">
      <c r="A116" s="15">
        <v>115</v>
      </c>
      <c r="B116" s="20" t="str">
        <v>湖南</v>
      </c>
      <c r="C116" s="20" t="str">
        <v>单一制</v>
      </c>
      <c r="D116" s="20" t="str">
        <v>110kV</v>
      </c>
      <c r="E116" s="54">
        <v>0.1958</v>
      </c>
    </row>
    <row customHeight="true" ht="19" r="117">
      <c r="A117" s="15">
        <v>116</v>
      </c>
      <c r="B117" s="20" t="str">
        <v>湖南</v>
      </c>
      <c r="C117" s="20" t="str">
        <v>单一制</v>
      </c>
      <c r="D117" s="20" t="str">
        <v>220kV</v>
      </c>
      <c r="E117" s="54">
        <v>0.1958</v>
      </c>
    </row>
    <row r="118">
      <c r="A118" s="15">
        <v>117</v>
      </c>
      <c r="B118" s="20" t="str">
        <v>湖南</v>
      </c>
      <c r="C118" s="20" t="str">
        <v>两部制</v>
      </c>
      <c r="D118" s="20" t="str">
        <v>10kV</v>
      </c>
      <c r="E118" s="54">
        <v>0.1694</v>
      </c>
    </row>
    <row customHeight="true" ht="19" r="119">
      <c r="A119" s="15">
        <v>118</v>
      </c>
      <c r="B119" s="20" t="str">
        <v>湖南</v>
      </c>
      <c r="C119" s="20" t="str">
        <v>两部制</v>
      </c>
      <c r="D119" s="20" t="str">
        <v>35kV</v>
      </c>
      <c r="E119" s="54">
        <v>0.1394</v>
      </c>
    </row>
    <row r="120">
      <c r="A120" s="15">
        <v>119</v>
      </c>
      <c r="B120" s="20" t="str">
        <v>湖南</v>
      </c>
      <c r="C120" s="20" t="str">
        <v>两部制</v>
      </c>
      <c r="D120" s="20" t="str">
        <v>110kV</v>
      </c>
      <c r="E120" s="54">
        <v>0.1104</v>
      </c>
    </row>
    <row r="121">
      <c r="A121" s="15">
        <v>120</v>
      </c>
      <c r="B121" s="20" t="str">
        <v>湖南</v>
      </c>
      <c r="C121" s="20" t="str">
        <v>两部制</v>
      </c>
      <c r="D121" s="20" t="str">
        <v>220kV</v>
      </c>
      <c r="E121" s="54">
        <v>0.0852</v>
      </c>
    </row>
    <row customHeight="true" ht="19" r="122">
      <c r="A122" s="15">
        <v>121</v>
      </c>
      <c r="B122" s="55" t="str">
        <v>江西</v>
      </c>
      <c r="C122" s="55" t="str">
        <v>单一制</v>
      </c>
      <c r="D122" s="55" t="str">
        <v>10kV</v>
      </c>
      <c r="E122" s="56">
        <v>0.1616</v>
      </c>
    </row>
    <row customHeight="true" ht="19" r="123">
      <c r="A123" s="15">
        <v>122</v>
      </c>
      <c r="B123" s="55" t="str">
        <v>江西</v>
      </c>
      <c r="C123" s="55" t="str">
        <v>单一制</v>
      </c>
      <c r="D123" s="55" t="str">
        <v>35kV</v>
      </c>
      <c r="E123" s="56">
        <v>0.1466</v>
      </c>
    </row>
    <row customHeight="true" ht="19" r="124">
      <c r="A124" s="15">
        <v>123</v>
      </c>
      <c r="B124" s="55" t="str">
        <v>江西</v>
      </c>
      <c r="C124" s="55" t="str">
        <v>单一制</v>
      </c>
      <c r="D124" s="55" t="str">
        <v>110kV</v>
      </c>
      <c r="E124" s="56" t="str">
        <v>/</v>
      </c>
    </row>
    <row customHeight="true" ht="19" r="125">
      <c r="A125" s="15">
        <v>124</v>
      </c>
      <c r="B125" s="55" t="str">
        <v>江西</v>
      </c>
      <c r="C125" s="55" t="str">
        <v>单一制</v>
      </c>
      <c r="D125" s="55" t="str">
        <v>220kV</v>
      </c>
      <c r="E125" s="56" t="str">
        <v>/</v>
      </c>
    </row>
    <row r="126">
      <c r="A126" s="15">
        <v>125</v>
      </c>
      <c r="B126" s="55" t="str">
        <v>江西</v>
      </c>
      <c r="C126" s="55" t="str">
        <v>两部制</v>
      </c>
      <c r="D126" s="55" t="str">
        <v>10kV</v>
      </c>
      <c r="E126" s="56">
        <v>0.1505</v>
      </c>
    </row>
    <row customHeight="true" ht="19" r="127">
      <c r="A127" s="15">
        <v>126</v>
      </c>
      <c r="B127" s="55" t="str">
        <v>江西</v>
      </c>
      <c r="C127" s="55" t="str">
        <v>两部制</v>
      </c>
      <c r="D127" s="55" t="str">
        <v>35kV</v>
      </c>
      <c r="E127" s="56">
        <v>0.1355</v>
      </c>
    </row>
    <row r="128">
      <c r="A128" s="15">
        <v>127</v>
      </c>
      <c r="B128" s="55" t="str">
        <v>江西</v>
      </c>
      <c r="C128" s="55" t="str">
        <v>两部制</v>
      </c>
      <c r="D128" s="55" t="str">
        <v>110kV</v>
      </c>
      <c r="E128" s="56">
        <v>0.1205</v>
      </c>
    </row>
    <row r="129">
      <c r="A129" s="15">
        <v>128</v>
      </c>
      <c r="B129" s="55" t="str">
        <v>江西</v>
      </c>
      <c r="C129" s="55" t="str">
        <v>两部制</v>
      </c>
      <c r="D129" s="55" t="str">
        <v>220kV</v>
      </c>
      <c r="E129" s="56">
        <v>0.1105</v>
      </c>
    </row>
    <row customHeight="true" ht="19" r="130">
      <c r="A130" s="15">
        <v>129</v>
      </c>
      <c r="B130" s="20" t="str">
        <v>辽宁</v>
      </c>
      <c r="C130" s="20" t="str">
        <v>单一制</v>
      </c>
      <c r="D130" s="20" t="str">
        <v>10kV</v>
      </c>
      <c r="E130" s="54">
        <v>0.2085</v>
      </c>
    </row>
    <row customHeight="true" ht="19" r="131">
      <c r="A131" s="15">
        <v>130</v>
      </c>
      <c r="B131" s="20" t="str">
        <v>辽宁</v>
      </c>
      <c r="C131" s="20" t="str">
        <v>单一制</v>
      </c>
      <c r="D131" s="20" t="str">
        <v>35kV</v>
      </c>
      <c r="E131" s="54" t="str">
        <v>/</v>
      </c>
    </row>
    <row customHeight="true" ht="19" r="132">
      <c r="A132" s="15">
        <v>131</v>
      </c>
      <c r="B132" s="20" t="str">
        <v>辽宁</v>
      </c>
      <c r="C132" s="20" t="str">
        <v>单一制</v>
      </c>
      <c r="D132" s="20" t="str">
        <v>110kV</v>
      </c>
      <c r="E132" s="54">
        <v>0.1875</v>
      </c>
    </row>
    <row customHeight="true" ht="19" r="133">
      <c r="A133" s="15">
        <v>132</v>
      </c>
      <c r="B133" s="20" t="str">
        <v>辽宁</v>
      </c>
      <c r="C133" s="20" t="str">
        <v>单一制</v>
      </c>
      <c r="D133" s="20" t="str">
        <v>220kV</v>
      </c>
      <c r="E133" s="54" t="str">
        <v>/</v>
      </c>
    </row>
    <row r="134">
      <c r="A134" s="15">
        <v>133</v>
      </c>
      <c r="B134" s="20" t="str">
        <v>辽宁</v>
      </c>
      <c r="C134" s="20" t="str">
        <v>两部制</v>
      </c>
      <c r="D134" s="20" t="str">
        <v>10kV</v>
      </c>
      <c r="E134" s="54">
        <v>0.1024</v>
      </c>
    </row>
    <row customHeight="true" ht="19" r="135">
      <c r="A135" s="15">
        <v>134</v>
      </c>
      <c r="B135" s="20" t="str">
        <v>辽宁</v>
      </c>
      <c r="C135" s="20" t="str">
        <v>两部制</v>
      </c>
      <c r="D135" s="20" t="str">
        <v>35kV</v>
      </c>
      <c r="E135" s="54" t="str">
        <v>/</v>
      </c>
    </row>
    <row r="136">
      <c r="A136" s="15">
        <v>135</v>
      </c>
      <c r="B136" s="20" t="str">
        <v>辽宁</v>
      </c>
      <c r="C136" s="20" t="str">
        <v>两部制</v>
      </c>
      <c r="D136" s="20" t="str">
        <v>110kV</v>
      </c>
      <c r="E136" s="54">
        <v>0.0838</v>
      </c>
    </row>
    <row r="137">
      <c r="A137" s="15">
        <v>136</v>
      </c>
      <c r="B137" s="20" t="str">
        <v>辽宁</v>
      </c>
      <c r="C137" s="20" t="str">
        <v>两部制</v>
      </c>
      <c r="D137" s="20" t="str">
        <v>220kV</v>
      </c>
      <c r="E137" s="54">
        <v>0.0571</v>
      </c>
    </row>
    <row customHeight="true" ht="19" r="138">
      <c r="A138" s="15">
        <v>137</v>
      </c>
      <c r="B138" s="55" t="str">
        <v>吉林</v>
      </c>
      <c r="C138" s="55" t="str">
        <v>单一制</v>
      </c>
      <c r="D138" s="55" t="str">
        <v>10kV</v>
      </c>
      <c r="E138" s="56">
        <v>0.2564</v>
      </c>
    </row>
    <row customHeight="true" ht="19" r="139">
      <c r="A139" s="15">
        <v>138</v>
      </c>
      <c r="B139" s="55" t="str">
        <v>吉林</v>
      </c>
      <c r="C139" s="55" t="str">
        <v>单一制</v>
      </c>
      <c r="D139" s="55" t="str">
        <v>35kV</v>
      </c>
      <c r="E139" s="56" t="str">
        <v>/</v>
      </c>
    </row>
    <row customHeight="true" ht="19" r="140">
      <c r="A140" s="15">
        <v>139</v>
      </c>
      <c r="B140" s="55" t="str">
        <v>吉林</v>
      </c>
      <c r="C140" s="55" t="str">
        <v>单一制</v>
      </c>
      <c r="D140" s="55" t="str">
        <v>110kV</v>
      </c>
      <c r="E140" s="56" t="str">
        <v>***</v>
      </c>
    </row>
    <row customHeight="true" ht="19" r="141">
      <c r="A141" s="15">
        <v>140</v>
      </c>
      <c r="B141" s="55" t="str">
        <v>吉林</v>
      </c>
      <c r="C141" s="55" t="str">
        <v>单一制</v>
      </c>
      <c r="D141" s="55" t="str">
        <v>220kV</v>
      </c>
      <c r="E141" s="56" t="str">
        <v>/</v>
      </c>
    </row>
    <row r="142">
      <c r="A142" s="15">
        <v>141</v>
      </c>
      <c r="B142" s="55" t="str">
        <v>吉林</v>
      </c>
      <c r="C142" s="55" t="str">
        <v>两部制</v>
      </c>
      <c r="D142" s="55" t="str">
        <v>10kV</v>
      </c>
      <c r="E142" s="56">
        <v>0.1497</v>
      </c>
    </row>
    <row customHeight="true" ht="19" r="143">
      <c r="A143" s="15">
        <v>142</v>
      </c>
      <c r="B143" s="55" t="str">
        <v>吉林</v>
      </c>
      <c r="C143" s="55" t="str">
        <v>两部制</v>
      </c>
      <c r="D143" s="55" t="str">
        <v>35kV</v>
      </c>
      <c r="E143" s="56" t="str">
        <v>****</v>
      </c>
    </row>
    <row r="144">
      <c r="A144" s="15">
        <v>143</v>
      </c>
      <c r="B144" s="55" t="str">
        <v>吉林</v>
      </c>
      <c r="C144" s="55" t="str">
        <v>两部制</v>
      </c>
      <c r="D144" s="55" t="str">
        <v>110kV</v>
      </c>
      <c r="E144" s="56">
        <v>0.1197</v>
      </c>
    </row>
    <row r="145">
      <c r="A145" s="15">
        <v>144</v>
      </c>
      <c r="B145" s="55" t="str">
        <v>吉林</v>
      </c>
      <c r="C145" s="55" t="str">
        <v>两部制</v>
      </c>
      <c r="D145" s="55" t="str">
        <v>220kV</v>
      </c>
      <c r="E145" s="56">
        <v>0.1097</v>
      </c>
    </row>
    <row customHeight="true" ht="19" r="146">
      <c r="A146" s="15">
        <v>145</v>
      </c>
      <c r="B146" s="20" t="str">
        <v>黑龙江</v>
      </c>
      <c r="C146" s="20" t="str">
        <v>单一制</v>
      </c>
      <c r="D146" s="20" t="str">
        <v>10kV</v>
      </c>
      <c r="E146" s="54">
        <v>0.2726</v>
      </c>
    </row>
    <row customHeight="true" ht="19" r="147">
      <c r="A147" s="15">
        <v>146</v>
      </c>
      <c r="B147" s="20" t="str">
        <v>黑龙江</v>
      </c>
      <c r="C147" s="20" t="str">
        <v>单一制</v>
      </c>
      <c r="D147" s="20" t="str">
        <v>35kV</v>
      </c>
      <c r="E147" s="54">
        <v>0.2615</v>
      </c>
    </row>
    <row customHeight="true" ht="19" r="148">
      <c r="A148" s="15">
        <v>147</v>
      </c>
      <c r="B148" s="20" t="str">
        <v>黑龙江</v>
      </c>
      <c r="C148" s="20" t="str">
        <v>单一制</v>
      </c>
      <c r="D148" s="20" t="str">
        <v>110kV</v>
      </c>
      <c r="E148" s="54">
        <v>0.241</v>
      </c>
    </row>
    <row customHeight="true" ht="19" r="149">
      <c r="A149" s="15">
        <v>148</v>
      </c>
      <c r="B149" s="20" t="str">
        <v>黑龙江</v>
      </c>
      <c r="C149" s="20" t="str">
        <v>单一制</v>
      </c>
      <c r="D149" s="20" t="str">
        <v>220kV</v>
      </c>
      <c r="E149" s="54">
        <v>0.241</v>
      </c>
    </row>
    <row r="150">
      <c r="A150" s="15">
        <v>149</v>
      </c>
      <c r="B150" s="20" t="str">
        <v>黑龙江</v>
      </c>
      <c r="C150" s="20" t="str">
        <v>两部制</v>
      </c>
      <c r="D150" s="20" t="str">
        <v>10kV</v>
      </c>
      <c r="E150" s="54">
        <v>0.1358</v>
      </c>
    </row>
    <row customHeight="true" ht="19" r="151">
      <c r="A151" s="15">
        <v>150</v>
      </c>
      <c r="B151" s="20" t="str">
        <v>黑龙江</v>
      </c>
      <c r="C151" s="20" t="str">
        <v>两部制</v>
      </c>
      <c r="D151" s="20" t="str">
        <v>35kV</v>
      </c>
      <c r="E151" s="54">
        <v>0.1144</v>
      </c>
    </row>
    <row r="152">
      <c r="A152" s="15">
        <v>151</v>
      </c>
      <c r="B152" s="20" t="str">
        <v>黑龙江</v>
      </c>
      <c r="C152" s="20" t="str">
        <v>两部制</v>
      </c>
      <c r="D152" s="20" t="str">
        <v>110kV</v>
      </c>
      <c r="E152" s="54">
        <v>0.1016</v>
      </c>
    </row>
    <row r="153">
      <c r="A153" s="15">
        <v>152</v>
      </c>
      <c r="B153" s="20" t="str">
        <v>黑龙江</v>
      </c>
      <c r="C153" s="20" t="str">
        <v>两部制</v>
      </c>
      <c r="D153" s="20" t="str">
        <v>220kV</v>
      </c>
      <c r="E153" s="54">
        <v>0.0753</v>
      </c>
    </row>
    <row customHeight="true" ht="19" r="154">
      <c r="A154" s="15">
        <v>153</v>
      </c>
      <c r="B154" s="55" t="str">
        <v>蒙东</v>
      </c>
      <c r="C154" s="55" t="str">
        <v>单一制</v>
      </c>
      <c r="D154" s="55" t="str">
        <v>10kV</v>
      </c>
      <c r="E154" s="56">
        <v>0.3361</v>
      </c>
    </row>
    <row customHeight="true" ht="19" r="155">
      <c r="A155" s="15">
        <v>154</v>
      </c>
      <c r="B155" s="55" t="str">
        <v>蒙东</v>
      </c>
      <c r="C155" s="55" t="str">
        <v>单一制</v>
      </c>
      <c r="D155" s="55" t="str">
        <v>35kV</v>
      </c>
      <c r="E155" s="56">
        <v>0.2504</v>
      </c>
    </row>
    <row customHeight="true" ht="19" r="156">
      <c r="A156" s="15">
        <v>155</v>
      </c>
      <c r="B156" s="55" t="str">
        <v>蒙东</v>
      </c>
      <c r="C156" s="55" t="str">
        <v>单一制</v>
      </c>
      <c r="D156" s="55" t="str">
        <v>110kV</v>
      </c>
      <c r="E156" s="56" t="str">
        <v>/</v>
      </c>
    </row>
    <row customHeight="true" ht="19" r="157">
      <c r="A157" s="15">
        <v>156</v>
      </c>
      <c r="B157" s="55" t="str">
        <v>蒙东</v>
      </c>
      <c r="C157" s="55" t="str">
        <v>单一制</v>
      </c>
      <c r="D157" s="55" t="str">
        <v>220kV</v>
      </c>
      <c r="E157" s="56" t="str">
        <v>/</v>
      </c>
    </row>
    <row r="158">
      <c r="A158" s="15">
        <v>157</v>
      </c>
      <c r="B158" s="55" t="str">
        <v>蒙东</v>
      </c>
      <c r="C158" s="55" t="str">
        <v>两部制</v>
      </c>
      <c r="D158" s="55" t="str">
        <v>10kV</v>
      </c>
      <c r="E158" s="56">
        <v>0.1483</v>
      </c>
    </row>
    <row customHeight="true" ht="19" r="159">
      <c r="A159" s="15">
        <v>158</v>
      </c>
      <c r="B159" s="55" t="str">
        <v>蒙东</v>
      </c>
      <c r="C159" s="55" t="str">
        <v>两部制</v>
      </c>
      <c r="D159" s="55" t="str">
        <v>35kV</v>
      </c>
      <c r="E159" s="56">
        <v>0.1413</v>
      </c>
    </row>
    <row r="160">
      <c r="A160" s="15">
        <v>159</v>
      </c>
      <c r="B160" s="55" t="str">
        <v>蒙东</v>
      </c>
      <c r="C160" s="55" t="str">
        <v>两部制</v>
      </c>
      <c r="D160" s="55" t="str">
        <v>110kV</v>
      </c>
      <c r="E160" s="56">
        <v>0.1019</v>
      </c>
    </row>
    <row r="161">
      <c r="A161" s="15">
        <v>160</v>
      </c>
      <c r="B161" s="55" t="str">
        <v>蒙东</v>
      </c>
      <c r="C161" s="55" t="str">
        <v>两部制</v>
      </c>
      <c r="D161" s="55" t="str">
        <v>220kV</v>
      </c>
      <c r="E161" s="56">
        <v>0.0789</v>
      </c>
    </row>
    <row customHeight="true" ht="19" r="162">
      <c r="A162" s="15">
        <v>161</v>
      </c>
      <c r="B162" s="20" t="str">
        <v>陕西</v>
      </c>
      <c r="C162" s="20" t="str">
        <v>单一制</v>
      </c>
      <c r="D162" s="20" t="str">
        <v>10kV</v>
      </c>
      <c r="E162" s="54">
        <v>0.2015</v>
      </c>
    </row>
    <row customHeight="true" ht="19" r="163">
      <c r="A163" s="15">
        <v>162</v>
      </c>
      <c r="B163" s="20" t="str">
        <v>陕西</v>
      </c>
      <c r="C163" s="20" t="str">
        <v>单一制</v>
      </c>
      <c r="D163" s="20" t="str">
        <v>35kV</v>
      </c>
      <c r="E163" s="54">
        <v>0.1815</v>
      </c>
    </row>
    <row customHeight="true" ht="19" r="164">
      <c r="A164" s="15">
        <v>163</v>
      </c>
      <c r="B164" s="20" t="str">
        <v>陕西</v>
      </c>
      <c r="C164" s="20" t="str">
        <v>单一制</v>
      </c>
      <c r="D164" s="20" t="str">
        <v>110kV</v>
      </c>
      <c r="E164" s="54">
        <v>0.1565</v>
      </c>
    </row>
    <row customHeight="true" ht="19" r="165">
      <c r="A165" s="15">
        <v>164</v>
      </c>
      <c r="B165" s="20" t="str">
        <v>陕西</v>
      </c>
      <c r="C165" s="20" t="str">
        <v>单一制</v>
      </c>
      <c r="D165" s="20" t="str">
        <v>220kV</v>
      </c>
      <c r="E165" s="54" t="str">
        <v>/</v>
      </c>
    </row>
    <row r="166">
      <c r="A166" s="15">
        <v>165</v>
      </c>
      <c r="B166" s="20" t="str">
        <v>陕西</v>
      </c>
      <c r="C166" s="20" t="str">
        <v>两部制</v>
      </c>
      <c r="D166" s="20" t="str">
        <v>10kV</v>
      </c>
      <c r="E166" s="54">
        <v>0.1231</v>
      </c>
    </row>
    <row customHeight="true" ht="19" r="167">
      <c r="A167" s="15">
        <v>166</v>
      </c>
      <c r="B167" s="23" t="str">
        <v>陕西</v>
      </c>
      <c r="C167" s="20" t="str">
        <v>两部制</v>
      </c>
      <c r="D167" s="20" t="str">
        <v>35kV</v>
      </c>
      <c r="E167" s="54">
        <v>0.1031</v>
      </c>
    </row>
    <row r="168">
      <c r="A168" s="15">
        <v>167</v>
      </c>
      <c r="B168" s="20" t="str">
        <v>陕西</v>
      </c>
      <c r="C168" s="20" t="str">
        <v>两部制</v>
      </c>
      <c r="D168" s="20" t="str">
        <v>110kV</v>
      </c>
      <c r="E168" s="54">
        <v>0.0831</v>
      </c>
    </row>
    <row r="169">
      <c r="A169" s="15">
        <v>168</v>
      </c>
      <c r="B169" s="20" t="str">
        <v>陕西</v>
      </c>
      <c r="C169" s="20" t="str">
        <v>两部制</v>
      </c>
      <c r="D169" s="20" t="str">
        <v>220kV</v>
      </c>
      <c r="E169" s="54">
        <v>0.0731</v>
      </c>
    </row>
    <row customHeight="true" ht="19" r="170">
      <c r="A170" s="15">
        <v>169</v>
      </c>
      <c r="B170" s="55" t="str">
        <v>甘肃</v>
      </c>
      <c r="C170" s="55" t="str">
        <v>单一制</v>
      </c>
      <c r="D170" s="55" t="str">
        <v>10kV</v>
      </c>
      <c r="E170" s="56">
        <v>0.2765</v>
      </c>
    </row>
    <row customHeight="true" ht="19" r="171">
      <c r="A171" s="15">
        <v>170</v>
      </c>
      <c r="B171" s="55" t="str">
        <v>甘肃</v>
      </c>
      <c r="C171" s="55" t="str">
        <v>单一制</v>
      </c>
      <c r="D171" s="55" t="str">
        <v>35kV</v>
      </c>
      <c r="E171" s="56">
        <v>0.2565</v>
      </c>
    </row>
    <row customHeight="true" ht="19" r="172">
      <c r="A172" s="15">
        <v>171</v>
      </c>
      <c r="B172" s="55" t="str">
        <v>甘肃</v>
      </c>
      <c r="C172" s="55" t="str">
        <v>单一制</v>
      </c>
      <c r="D172" s="55" t="str">
        <v>110kV</v>
      </c>
      <c r="E172" s="56" t="str">
        <v>/</v>
      </c>
    </row>
    <row customHeight="true" ht="19" r="173">
      <c r="A173" s="15">
        <v>172</v>
      </c>
      <c r="B173" s="55" t="str">
        <v>甘肃</v>
      </c>
      <c r="C173" s="55" t="str">
        <v>单一制</v>
      </c>
      <c r="D173" s="55" t="str">
        <v>220kV</v>
      </c>
      <c r="E173" s="56" t="str">
        <v>/</v>
      </c>
    </row>
    <row r="174">
      <c r="A174" s="15">
        <v>173</v>
      </c>
      <c r="B174" s="55" t="str">
        <v>甘肃</v>
      </c>
      <c r="C174" s="55" t="str">
        <v>两部制</v>
      </c>
      <c r="D174" s="55" t="str">
        <v>10kV</v>
      </c>
      <c r="E174" s="56">
        <v>0.1028</v>
      </c>
    </row>
    <row customHeight="true" ht="19" r="175">
      <c r="A175" s="15">
        <v>174</v>
      </c>
      <c r="B175" s="55" t="str">
        <v>甘肃</v>
      </c>
      <c r="C175" s="55" t="str">
        <v>两部制</v>
      </c>
      <c r="D175" s="55" t="str">
        <v>35kV</v>
      </c>
      <c r="E175" s="56">
        <v>0.0888</v>
      </c>
    </row>
    <row r="176">
      <c r="A176" s="15">
        <v>175</v>
      </c>
      <c r="B176" s="55" t="str">
        <v>甘肃</v>
      </c>
      <c r="C176" s="55" t="str">
        <v>两部制</v>
      </c>
      <c r="D176" s="55" t="str">
        <v>110kV</v>
      </c>
      <c r="E176" s="56">
        <v>0.0764</v>
      </c>
    </row>
    <row r="177">
      <c r="A177" s="15">
        <v>176</v>
      </c>
      <c r="B177" s="55" t="str">
        <v>甘肃</v>
      </c>
      <c r="C177" s="55" t="str">
        <v>两部制</v>
      </c>
      <c r="D177" s="55" t="str">
        <v>220kV</v>
      </c>
      <c r="E177" s="56">
        <v>0.0658</v>
      </c>
    </row>
    <row customHeight="true" ht="19" r="178">
      <c r="A178" s="15">
        <v>177</v>
      </c>
      <c r="B178" s="20" t="str">
        <v>青海</v>
      </c>
      <c r="C178" s="20" t="str">
        <v>单一制</v>
      </c>
      <c r="D178" s="20" t="str">
        <v>10kV</v>
      </c>
      <c r="E178" s="54">
        <v>0.1807</v>
      </c>
    </row>
    <row customHeight="true" ht="19" r="179">
      <c r="A179" s="15">
        <v>178</v>
      </c>
      <c r="B179" s="20" t="str">
        <v>青海</v>
      </c>
      <c r="C179" s="20" t="str">
        <v>单一制</v>
      </c>
      <c r="D179" s="20" t="str">
        <v>35kV</v>
      </c>
      <c r="E179" s="54">
        <v>0.1756</v>
      </c>
    </row>
    <row customHeight="true" ht="19" r="180">
      <c r="A180" s="15">
        <v>179</v>
      </c>
      <c r="B180" s="20" t="str">
        <v>青海</v>
      </c>
      <c r="C180" s="20" t="str">
        <v>单一制</v>
      </c>
      <c r="D180" s="20" t="str">
        <v>110kV</v>
      </c>
      <c r="E180" s="54" t="str">
        <v>/</v>
      </c>
    </row>
    <row customHeight="true" ht="19" r="181">
      <c r="A181" s="15">
        <v>180</v>
      </c>
      <c r="B181" s="20" t="str">
        <v>青海</v>
      </c>
      <c r="C181" s="20" t="str">
        <v>单一制</v>
      </c>
      <c r="D181" s="20" t="str">
        <v>220kV</v>
      </c>
      <c r="E181" s="54" t="str">
        <v>/</v>
      </c>
    </row>
    <row r="182">
      <c r="A182" s="15">
        <v>181</v>
      </c>
      <c r="B182" s="20" t="str">
        <v>青海</v>
      </c>
      <c r="C182" s="20" t="str">
        <v>两部制</v>
      </c>
      <c r="D182" s="20" t="str">
        <v>10kV</v>
      </c>
      <c r="E182" s="54">
        <v>0.0834</v>
      </c>
    </row>
    <row customHeight="true" ht="19" r="183">
      <c r="A183" s="15">
        <v>182</v>
      </c>
      <c r="B183" s="20" t="str">
        <v>青海</v>
      </c>
      <c r="C183" s="20" t="str">
        <v>两部制</v>
      </c>
      <c r="D183" s="20" t="str">
        <v>35kV</v>
      </c>
      <c r="E183" s="54">
        <v>0.0779</v>
      </c>
    </row>
    <row r="184">
      <c r="A184" s="15">
        <v>183</v>
      </c>
      <c r="B184" s="20" t="str">
        <v>青海</v>
      </c>
      <c r="C184" s="20" t="str">
        <v>两部制</v>
      </c>
      <c r="D184" s="20" t="str">
        <v>110kV</v>
      </c>
      <c r="E184" s="54">
        <v>0.0677</v>
      </c>
    </row>
    <row r="185">
      <c r="A185" s="15">
        <v>184</v>
      </c>
      <c r="B185" s="20" t="str">
        <v>青海</v>
      </c>
      <c r="C185" s="20" t="str">
        <v>两部制</v>
      </c>
      <c r="D185" s="20" t="str">
        <v>220kV</v>
      </c>
      <c r="E185" s="54">
        <v>0.0677</v>
      </c>
    </row>
    <row customHeight="true" ht="19" r="186">
      <c r="A186" s="15">
        <v>185</v>
      </c>
      <c r="B186" s="55" t="str">
        <v>宁夏</v>
      </c>
      <c r="C186" s="55" t="str">
        <v>单一制</v>
      </c>
      <c r="D186" s="55" t="str">
        <v>10kV</v>
      </c>
      <c r="E186" s="56">
        <v>0.1646</v>
      </c>
    </row>
    <row customHeight="true" ht="19" r="187">
      <c r="A187" s="15">
        <v>186</v>
      </c>
      <c r="B187" s="55" t="str">
        <v>宁夏</v>
      </c>
      <c r="C187" s="55" t="str">
        <v>单一制</v>
      </c>
      <c r="D187" s="55" t="str">
        <v>35kV</v>
      </c>
      <c r="E187" s="56">
        <v>0.1446</v>
      </c>
    </row>
    <row customHeight="true" ht="19" r="188">
      <c r="A188" s="15">
        <v>187</v>
      </c>
      <c r="B188" s="55" t="str">
        <v>宁夏</v>
      </c>
      <c r="C188" s="55" t="str">
        <v>单一制</v>
      </c>
      <c r="D188" s="55" t="str">
        <v>110kV</v>
      </c>
      <c r="E188" s="56">
        <v>0.1446</v>
      </c>
    </row>
    <row customHeight="true" ht="19" r="189">
      <c r="A189" s="15">
        <v>188</v>
      </c>
      <c r="B189" s="55" t="str">
        <v>宁夏</v>
      </c>
      <c r="C189" s="55" t="str">
        <v>单一制</v>
      </c>
      <c r="D189" s="55" t="str">
        <v>220kV</v>
      </c>
      <c r="E189" s="56" t="str">
        <v>/</v>
      </c>
    </row>
    <row r="190">
      <c r="A190" s="15">
        <v>189</v>
      </c>
      <c r="B190" s="55" t="str">
        <v>宁夏</v>
      </c>
      <c r="C190" s="55" t="str">
        <v>两部制</v>
      </c>
      <c r="D190" s="55" t="str">
        <v>10kV</v>
      </c>
      <c r="E190" s="56">
        <v>0.092</v>
      </c>
    </row>
    <row customHeight="true" ht="19" r="191">
      <c r="A191" s="15">
        <v>190</v>
      </c>
      <c r="B191" s="55" t="str">
        <v>宁夏</v>
      </c>
      <c r="C191" s="55" t="str">
        <v>两部制</v>
      </c>
      <c r="D191" s="55" t="str">
        <v>35kV</v>
      </c>
      <c r="E191" s="56">
        <v>0.0769</v>
      </c>
    </row>
    <row r="192">
      <c r="A192" s="15">
        <v>191</v>
      </c>
      <c r="B192" s="55" t="str">
        <v>宁夏</v>
      </c>
      <c r="C192" s="55" t="str">
        <v>两部制</v>
      </c>
      <c r="D192" s="55" t="str">
        <v>110kV</v>
      </c>
      <c r="E192" s="56">
        <v>0.06</v>
      </c>
    </row>
    <row r="193">
      <c r="A193" s="15">
        <v>192</v>
      </c>
      <c r="B193" s="55" t="str">
        <v>宁夏</v>
      </c>
      <c r="C193" s="55" t="str">
        <v>两部制</v>
      </c>
      <c r="D193" s="55" t="str">
        <v>220kV</v>
      </c>
      <c r="E193" s="56">
        <v>0.0521</v>
      </c>
    </row>
    <row customHeight="true" ht="19" r="194">
      <c r="A194" s="15">
        <v>193</v>
      </c>
      <c r="B194" s="20" t="str">
        <v>新疆</v>
      </c>
      <c r="C194" s="20" t="str">
        <v>单一制</v>
      </c>
      <c r="D194" s="20" t="str">
        <v>10kV</v>
      </c>
      <c r="E194" s="54">
        <v>0.1606</v>
      </c>
    </row>
    <row customHeight="true" ht="19" r="195">
      <c r="A195" s="15">
        <v>194</v>
      </c>
      <c r="B195" s="20" t="str">
        <v>新疆</v>
      </c>
      <c r="C195" s="20" t="str">
        <v>单一制</v>
      </c>
      <c r="D195" s="20" t="str">
        <v>35kV</v>
      </c>
      <c r="E195" s="54">
        <v>0.1566</v>
      </c>
    </row>
    <row customHeight="true" ht="19" r="196">
      <c r="A196" s="15">
        <v>195</v>
      </c>
      <c r="B196" s="20" t="str">
        <v>新疆</v>
      </c>
      <c r="C196" s="20" t="str">
        <v>单一制</v>
      </c>
      <c r="D196" s="20" t="str">
        <v>110kV</v>
      </c>
      <c r="E196" s="54">
        <v>0.1566</v>
      </c>
    </row>
    <row customHeight="true" ht="19" r="197">
      <c r="A197" s="15">
        <v>196</v>
      </c>
      <c r="B197" s="20" t="str">
        <v>新疆</v>
      </c>
      <c r="C197" s="20" t="str">
        <v>单一制</v>
      </c>
      <c r="D197" s="20" t="str">
        <v>220kV</v>
      </c>
      <c r="E197" s="54">
        <v>0.1566</v>
      </c>
    </row>
    <row r="198">
      <c r="A198" s="15">
        <v>197</v>
      </c>
      <c r="B198" s="20" t="str">
        <v>新疆</v>
      </c>
      <c r="C198" s="20" t="str">
        <v>两部制</v>
      </c>
      <c r="D198" s="20" t="str">
        <v>10kV</v>
      </c>
      <c r="E198" s="54">
        <v>0.1204</v>
      </c>
    </row>
    <row customHeight="true" ht="19" r="199">
      <c r="A199" s="15">
        <v>198</v>
      </c>
      <c r="B199" s="20" t="str">
        <v>新疆</v>
      </c>
      <c r="C199" s="20" t="str">
        <v>两部制</v>
      </c>
      <c r="D199" s="20" t="str">
        <v>35kV</v>
      </c>
      <c r="E199" s="54">
        <v>0.11</v>
      </c>
    </row>
    <row r="200">
      <c r="A200" s="15">
        <v>199</v>
      </c>
      <c r="B200" s="20" t="str">
        <v>新疆</v>
      </c>
      <c r="C200" s="20" t="str">
        <v>两部制</v>
      </c>
      <c r="D200" s="20" t="str">
        <v>110kV</v>
      </c>
      <c r="E200" s="54">
        <v>0.0815</v>
      </c>
    </row>
    <row r="201">
      <c r="A201" s="15">
        <v>200</v>
      </c>
      <c r="B201" s="20" t="str">
        <v>新疆</v>
      </c>
      <c r="C201" s="20" t="str">
        <v>两部制</v>
      </c>
      <c r="D201" s="20" t="str">
        <v>220kV</v>
      </c>
      <c r="E201" s="54">
        <v>0.0486</v>
      </c>
    </row>
    <row customHeight="true" ht="19" r="202">
      <c r="A202" s="15">
        <v>201</v>
      </c>
      <c r="B202" s="55" t="str">
        <v>重庆</v>
      </c>
      <c r="C202" s="55" t="str">
        <v>单一制</v>
      </c>
      <c r="D202" s="55" t="str">
        <v>10kV</v>
      </c>
      <c r="E202" s="56">
        <v>0.2121</v>
      </c>
    </row>
    <row customHeight="true" ht="19" r="203">
      <c r="A203" s="15">
        <v>202</v>
      </c>
      <c r="B203" s="55" t="str">
        <v>重庆</v>
      </c>
      <c r="C203" s="55" t="str">
        <v>单一制</v>
      </c>
      <c r="D203" s="55" t="str">
        <v>35kV</v>
      </c>
      <c r="E203" s="56">
        <v>0.1922</v>
      </c>
    </row>
    <row customHeight="true" ht="19" r="204">
      <c r="A204" s="15">
        <v>203</v>
      </c>
      <c r="B204" s="55" t="str">
        <v>重庆</v>
      </c>
      <c r="C204" s="55" t="str">
        <v>单一制</v>
      </c>
      <c r="D204" s="55" t="str">
        <v>110kV</v>
      </c>
      <c r="E204" s="56">
        <v>0.1774</v>
      </c>
    </row>
    <row customHeight="true" ht="19" r="205">
      <c r="A205" s="15">
        <v>204</v>
      </c>
      <c r="B205" s="55" t="str">
        <v>重庆</v>
      </c>
      <c r="C205" s="55" t="str">
        <v>单一制</v>
      </c>
      <c r="D205" s="55" t="str">
        <v>220kV</v>
      </c>
      <c r="E205" s="56">
        <v>0.1774</v>
      </c>
    </row>
    <row r="206">
      <c r="A206" s="15">
        <v>205</v>
      </c>
      <c r="B206" s="55" t="str">
        <v>重庆</v>
      </c>
      <c r="C206" s="55" t="str">
        <v>两部制</v>
      </c>
      <c r="D206" s="55" t="str">
        <v>10kV</v>
      </c>
      <c r="E206" s="56">
        <v>0.1529</v>
      </c>
    </row>
    <row customHeight="true" ht="19" r="207">
      <c r="A207" s="15">
        <v>206</v>
      </c>
      <c r="B207" s="55" t="str">
        <v>重庆</v>
      </c>
      <c r="C207" s="55" t="str">
        <v>两部制</v>
      </c>
      <c r="D207" s="55" t="str">
        <v>35kV</v>
      </c>
      <c r="E207" s="56">
        <v>0.1271</v>
      </c>
    </row>
    <row r="208">
      <c r="A208" s="15">
        <v>207</v>
      </c>
      <c r="B208" s="55" t="str">
        <v>重庆</v>
      </c>
      <c r="C208" s="55" t="str">
        <v>两部制</v>
      </c>
      <c r="D208" s="55" t="str">
        <v>110kV</v>
      </c>
      <c r="E208" s="56">
        <v>0.1078</v>
      </c>
    </row>
    <row r="209">
      <c r="A209" s="15">
        <v>208</v>
      </c>
      <c r="B209" s="55" t="str">
        <v>重庆</v>
      </c>
      <c r="C209" s="55" t="str">
        <v>两部制</v>
      </c>
      <c r="D209" s="55" t="str">
        <v>220kV</v>
      </c>
      <c r="E209" s="56">
        <v>0.0885</v>
      </c>
    </row>
    <row customHeight="true" ht="19" r="210">
      <c r="A210" s="15">
        <v>209</v>
      </c>
      <c r="B210" s="20" t="str">
        <v>四川</v>
      </c>
      <c r="C210" s="20" t="str">
        <v>单一制</v>
      </c>
      <c r="D210" s="20" t="str">
        <v>10kV</v>
      </c>
      <c r="E210" s="54">
        <v>0.2296</v>
      </c>
    </row>
    <row customHeight="true" ht="19" r="211">
      <c r="A211" s="15">
        <v>210</v>
      </c>
      <c r="B211" s="20" t="str">
        <v>四川</v>
      </c>
      <c r="C211" s="20" t="str">
        <v>单一制</v>
      </c>
      <c r="D211" s="20" t="str">
        <v>35kV</v>
      </c>
      <c r="E211" s="54">
        <v>0.1989</v>
      </c>
    </row>
    <row customHeight="true" ht="19" r="212">
      <c r="A212" s="15">
        <v>211</v>
      </c>
      <c r="B212" s="20" t="str">
        <v>四川</v>
      </c>
      <c r="C212" s="20" t="str">
        <v>单一制</v>
      </c>
      <c r="D212" s="20" t="str">
        <v>110kV</v>
      </c>
      <c r="E212" s="54">
        <v>0.1989</v>
      </c>
    </row>
    <row customHeight="true" ht="19" r="213">
      <c r="A213" s="15">
        <v>212</v>
      </c>
      <c r="B213" s="20" t="str">
        <v>四川</v>
      </c>
      <c r="C213" s="20" t="str">
        <v>单一制</v>
      </c>
      <c r="D213" s="20" t="str">
        <v>220kV</v>
      </c>
      <c r="E213" s="54">
        <v>0.1989</v>
      </c>
    </row>
    <row r="214">
      <c r="A214" s="15">
        <v>213</v>
      </c>
      <c r="B214" s="20" t="str">
        <v>四川</v>
      </c>
      <c r="C214" s="20" t="str">
        <v>两部制</v>
      </c>
      <c r="D214" s="20" t="str">
        <v>10kV</v>
      </c>
      <c r="E214" s="54">
        <v>0.139</v>
      </c>
    </row>
    <row customHeight="true" ht="19" r="215">
      <c r="A215" s="15">
        <v>214</v>
      </c>
      <c r="B215" s="20" t="str">
        <v>四川</v>
      </c>
      <c r="C215" s="20" t="str">
        <v>两部制</v>
      </c>
      <c r="D215" s="20" t="str">
        <v>35kV</v>
      </c>
      <c r="E215" s="54">
        <v>0.1092</v>
      </c>
    </row>
    <row r="216">
      <c r="A216" s="15">
        <v>215</v>
      </c>
      <c r="B216" s="20" t="str">
        <v>四川</v>
      </c>
      <c r="C216" s="20" t="str">
        <v>两部制</v>
      </c>
      <c r="D216" s="20" t="str">
        <v>110kV</v>
      </c>
      <c r="E216" s="54">
        <v>0.0669</v>
      </c>
    </row>
    <row r="217">
      <c r="A217" s="15">
        <v>216</v>
      </c>
      <c r="B217" s="20" t="str">
        <v>四川</v>
      </c>
      <c r="C217" s="20" t="str">
        <v>两部制</v>
      </c>
      <c r="D217" s="20" t="str">
        <v>220kV</v>
      </c>
      <c r="E217" s="54">
        <v>0.0478</v>
      </c>
    </row>
    <row customHeight="true" ht="19" r="218">
      <c r="A218" s="15">
        <v>217</v>
      </c>
      <c r="B218" s="55" t="str">
        <v>广东</v>
      </c>
      <c r="C218" s="55" t="str">
        <v>单一制</v>
      </c>
      <c r="D218" s="55" t="str">
        <v>10kV</v>
      </c>
      <c r="E218" s="56">
        <v>0.1994</v>
      </c>
    </row>
    <row customHeight="true" ht="19" r="219">
      <c r="A219" s="15">
        <v>218</v>
      </c>
      <c r="B219" s="55" t="str">
        <v>广东</v>
      </c>
      <c r="C219" s="55" t="str">
        <v>单一制</v>
      </c>
      <c r="D219" s="55" t="str">
        <v>35kV</v>
      </c>
      <c r="E219" s="56">
        <v>0.1571</v>
      </c>
    </row>
    <row customHeight="true" ht="19" r="220">
      <c r="A220" s="15">
        <v>219</v>
      </c>
      <c r="B220" s="55" t="str">
        <v>广东</v>
      </c>
      <c r="C220" s="55" t="str">
        <v>单一制</v>
      </c>
      <c r="D220" s="55" t="str">
        <v>110kV</v>
      </c>
      <c r="E220" s="56">
        <v>0.1571</v>
      </c>
    </row>
    <row customHeight="true" ht="19" r="221">
      <c r="A221" s="15">
        <v>220</v>
      </c>
      <c r="B221" s="55" t="str">
        <v>广东</v>
      </c>
      <c r="C221" s="55" t="str">
        <v>单一制</v>
      </c>
      <c r="D221" s="55" t="str">
        <v>220kV</v>
      </c>
      <c r="E221" s="56" t="str">
        <v>/</v>
      </c>
    </row>
    <row r="222">
      <c r="A222" s="15">
        <v>221</v>
      </c>
      <c r="B222" s="55" t="str">
        <v>广东</v>
      </c>
      <c r="C222" s="55" t="str">
        <v>两部制</v>
      </c>
      <c r="D222" s="55" t="str">
        <v>10kV</v>
      </c>
      <c r="E222" s="56">
        <v>0.126</v>
      </c>
    </row>
    <row customHeight="true" ht="19" r="223">
      <c r="A223" s="15">
        <v>222</v>
      </c>
      <c r="B223" s="55" t="str">
        <v>广东</v>
      </c>
      <c r="C223" s="55" t="str">
        <v>两部制</v>
      </c>
      <c r="D223" s="55" t="str">
        <v>35kV</v>
      </c>
      <c r="E223" s="56">
        <v>0.1009</v>
      </c>
    </row>
    <row r="224">
      <c r="A224" s="15">
        <v>223</v>
      </c>
      <c r="B224" s="55" t="str">
        <v>广东</v>
      </c>
      <c r="C224" s="55" t="str">
        <v>两部制</v>
      </c>
      <c r="D224" s="55" t="str">
        <v>110kV</v>
      </c>
      <c r="E224" s="56">
        <v>0.1009</v>
      </c>
    </row>
    <row r="225">
      <c r="A225" s="15">
        <v>224</v>
      </c>
      <c r="B225" s="55" t="str">
        <v>广东</v>
      </c>
      <c r="C225" s="55" t="str">
        <v>两部制</v>
      </c>
      <c r="D225" s="55" t="str">
        <v>220kV</v>
      </c>
      <c r="E225" s="56">
        <v>0.0732</v>
      </c>
    </row>
    <row customHeight="true" ht="19" r="226">
      <c r="A226" s="15">
        <v>225</v>
      </c>
      <c r="B226" s="20" t="str">
        <v>广西</v>
      </c>
      <c r="C226" s="20" t="str">
        <v>单一制</v>
      </c>
      <c r="D226" s="20" t="str">
        <v>10kV</v>
      </c>
      <c r="E226" s="57">
        <v>0.2562</v>
      </c>
    </row>
    <row customHeight="true" ht="19" r="227">
      <c r="A227" s="15">
        <v>226</v>
      </c>
      <c r="B227" s="20" t="str">
        <v>广西</v>
      </c>
      <c r="C227" s="20" t="str">
        <v>单一制</v>
      </c>
      <c r="D227" s="20" t="str">
        <v>35kV</v>
      </c>
      <c r="E227" s="57">
        <v>0.2364</v>
      </c>
    </row>
    <row customHeight="true" ht="19" r="228">
      <c r="A228" s="15">
        <v>227</v>
      </c>
      <c r="B228" s="20" t="str">
        <v>广西</v>
      </c>
      <c r="C228" s="20" t="str">
        <v>单一制</v>
      </c>
      <c r="D228" s="20" t="str">
        <v>110kV</v>
      </c>
      <c r="E228" s="54" t="str">
        <v>/</v>
      </c>
    </row>
    <row customHeight="true" ht="19" r="229">
      <c r="A229" s="15">
        <v>228</v>
      </c>
      <c r="B229" s="20" t="str">
        <v>广西</v>
      </c>
      <c r="C229" s="20" t="str">
        <v>单一制</v>
      </c>
      <c r="D229" s="20" t="str">
        <v>220kV</v>
      </c>
      <c r="E229" s="54" t="str">
        <v>/</v>
      </c>
    </row>
    <row r="230">
      <c r="A230" s="15">
        <v>229</v>
      </c>
      <c r="B230" s="20" t="str">
        <v>广西</v>
      </c>
      <c r="C230" s="20" t="str">
        <v>两部制</v>
      </c>
      <c r="D230" s="20" t="str">
        <v>10kV</v>
      </c>
      <c r="E230" s="54">
        <v>0.1476</v>
      </c>
    </row>
    <row customHeight="true" ht="19" r="231">
      <c r="A231" s="15">
        <v>230</v>
      </c>
      <c r="B231" s="20" t="str">
        <v>广西</v>
      </c>
      <c r="C231" s="20" t="str">
        <v>两部制</v>
      </c>
      <c r="D231" s="20" t="str">
        <v>35kV</v>
      </c>
      <c r="E231" s="54">
        <v>0.1054</v>
      </c>
    </row>
    <row r="232">
      <c r="A232" s="15">
        <v>231</v>
      </c>
      <c r="B232" s="20" t="str">
        <v>广西</v>
      </c>
      <c r="C232" s="20" t="str">
        <v>两部制</v>
      </c>
      <c r="D232" s="20" t="str">
        <v>110kV</v>
      </c>
      <c r="E232" s="54">
        <v>0.0777</v>
      </c>
    </row>
    <row r="233">
      <c r="A233" s="15">
        <v>232</v>
      </c>
      <c r="B233" s="20" t="str">
        <v>广西</v>
      </c>
      <c r="C233" s="20" t="str">
        <v>两部制</v>
      </c>
      <c r="D233" s="20" t="str">
        <v>220kV</v>
      </c>
      <c r="E233" s="54">
        <v>0.0288</v>
      </c>
    </row>
    <row customHeight="true" ht="19" r="234">
      <c r="A234" s="15">
        <v>233</v>
      </c>
      <c r="B234" s="55" t="str">
        <v>云南</v>
      </c>
      <c r="C234" s="55" t="str">
        <v>单一制</v>
      </c>
      <c r="D234" s="55" t="str">
        <v>10kV</v>
      </c>
      <c r="E234" s="56">
        <v>0.152</v>
      </c>
    </row>
    <row customHeight="true" ht="19" r="235">
      <c r="A235" s="15">
        <v>234</v>
      </c>
      <c r="B235" s="55" t="str">
        <v>云南</v>
      </c>
      <c r="C235" s="55" t="str">
        <v>单一制</v>
      </c>
      <c r="D235" s="55" t="str">
        <v>35kV</v>
      </c>
      <c r="E235" s="56">
        <v>0.142</v>
      </c>
    </row>
    <row customHeight="true" ht="19" r="236">
      <c r="A236" s="15">
        <v>235</v>
      </c>
      <c r="B236" s="55" t="str">
        <v>云南</v>
      </c>
      <c r="C236" s="55" t="str">
        <v>单一制</v>
      </c>
      <c r="D236" s="55" t="str">
        <v>110kV</v>
      </c>
      <c r="E236" s="56" t="str">
        <v>/</v>
      </c>
    </row>
    <row customHeight="true" ht="19" r="237">
      <c r="A237" s="15">
        <v>236</v>
      </c>
      <c r="B237" s="55" t="str">
        <v>云南</v>
      </c>
      <c r="C237" s="55" t="str">
        <v>单一制</v>
      </c>
      <c r="D237" s="55" t="str">
        <v>220kV</v>
      </c>
      <c r="E237" s="56" t="str">
        <v>/</v>
      </c>
    </row>
    <row r="238">
      <c r="A238" s="15">
        <v>237</v>
      </c>
      <c r="B238" s="55" t="str">
        <v>云南</v>
      </c>
      <c r="C238" s="55" t="str">
        <v>两部制</v>
      </c>
      <c r="D238" s="55" t="str">
        <v>10kV</v>
      </c>
      <c r="E238" s="56">
        <v>0.1296</v>
      </c>
    </row>
    <row customHeight="true" ht="19" r="239">
      <c r="A239" s="15">
        <v>238</v>
      </c>
      <c r="B239" s="55" t="str">
        <v>云南</v>
      </c>
      <c r="C239" s="55" t="str">
        <v>两部制</v>
      </c>
      <c r="D239" s="55" t="str">
        <v>35kV</v>
      </c>
      <c r="E239" s="56">
        <v>0.1045</v>
      </c>
    </row>
    <row r="240">
      <c r="A240" s="15">
        <v>239</v>
      </c>
      <c r="B240" s="55" t="str">
        <v>云南</v>
      </c>
      <c r="C240" s="55" t="str">
        <v>两部制</v>
      </c>
      <c r="D240" s="55" t="str">
        <v>110kV</v>
      </c>
      <c r="E240" s="56">
        <v>0.0749</v>
      </c>
    </row>
    <row r="241">
      <c r="A241" s="15">
        <v>240</v>
      </c>
      <c r="B241" s="55" t="str">
        <v>云南</v>
      </c>
      <c r="C241" s="55" t="str">
        <v>两部制</v>
      </c>
      <c r="D241" s="55" t="str">
        <v>220kV</v>
      </c>
      <c r="E241" s="56">
        <v>0.0555</v>
      </c>
    </row>
    <row customHeight="true" ht="19" r="242">
      <c r="A242" s="15">
        <v>241</v>
      </c>
      <c r="B242" s="20" t="str">
        <v>贵州</v>
      </c>
      <c r="C242" s="20" t="str">
        <v>单一制</v>
      </c>
      <c r="D242" s="20" t="str">
        <v>10kV</v>
      </c>
      <c r="E242" s="54">
        <v>0.2062</v>
      </c>
    </row>
    <row customHeight="true" ht="19" r="243">
      <c r="A243" s="15">
        <v>242</v>
      </c>
      <c r="B243" s="20" t="str">
        <v>贵州</v>
      </c>
      <c r="C243" s="20" t="str">
        <v>单一制</v>
      </c>
      <c r="D243" s="20" t="str">
        <v>35kV</v>
      </c>
      <c r="E243" s="54">
        <v>0.1805</v>
      </c>
    </row>
    <row customHeight="true" ht="19" r="244">
      <c r="A244" s="15">
        <v>243</v>
      </c>
      <c r="B244" s="20" t="str">
        <v>贵州</v>
      </c>
      <c r="C244" s="20" t="str">
        <v>单一制</v>
      </c>
      <c r="D244" s="20" t="str">
        <v>110kV</v>
      </c>
      <c r="E244" s="54" t="str">
        <v>/</v>
      </c>
    </row>
    <row customHeight="true" ht="19" r="245">
      <c r="A245" s="15">
        <v>244</v>
      </c>
      <c r="B245" s="20" t="str">
        <v>贵州</v>
      </c>
      <c r="C245" s="20" t="str">
        <v>单一制</v>
      </c>
      <c r="D245" s="20" t="str">
        <v>220kV</v>
      </c>
      <c r="E245" s="54" t="str">
        <v>/</v>
      </c>
    </row>
    <row r="246">
      <c r="A246" s="15">
        <v>245</v>
      </c>
      <c r="B246" s="20" t="str">
        <v>贵州</v>
      </c>
      <c r="C246" s="20" t="str">
        <v>两部制</v>
      </c>
      <c r="D246" s="20" t="str">
        <v>10kV</v>
      </c>
      <c r="E246" s="54">
        <v>0.128</v>
      </c>
    </row>
    <row customHeight="true" ht="19" r="247">
      <c r="A247" s="15">
        <v>246</v>
      </c>
      <c r="B247" s="20" t="str">
        <v>贵州</v>
      </c>
      <c r="C247" s="20" t="str">
        <v>两部制</v>
      </c>
      <c r="D247" s="20" t="str">
        <v>35kV</v>
      </c>
      <c r="E247" s="54">
        <v>0.1143</v>
      </c>
    </row>
    <row r="248">
      <c r="A248" s="15">
        <v>247</v>
      </c>
      <c r="B248" s="20" t="str">
        <v>贵州</v>
      </c>
      <c r="C248" s="20" t="str">
        <v>两部制</v>
      </c>
      <c r="D248" s="20" t="str">
        <v>110kV</v>
      </c>
      <c r="E248" s="54">
        <v>0.0777</v>
      </c>
    </row>
    <row r="249">
      <c r="A249" s="15">
        <v>248</v>
      </c>
      <c r="B249" s="20" t="str">
        <v>贵州</v>
      </c>
      <c r="C249" s="20" t="str">
        <v>两部制</v>
      </c>
      <c r="D249" s="20" t="str">
        <v>220kV</v>
      </c>
      <c r="E249" s="54">
        <v>0.0529</v>
      </c>
    </row>
    <row customHeight="true" ht="19" r="250">
      <c r="A250" s="15">
        <v>249</v>
      </c>
      <c r="B250" s="55" t="str">
        <v>海南</v>
      </c>
      <c r="C250" s="55" t="str">
        <v>单一制</v>
      </c>
      <c r="D250" s="55" t="str">
        <v>10kV</v>
      </c>
      <c r="E250" s="56">
        <v>0.2361</v>
      </c>
    </row>
    <row customHeight="true" ht="19" r="251">
      <c r="A251" s="15">
        <v>250</v>
      </c>
      <c r="B251" s="55" t="str">
        <v>海南</v>
      </c>
      <c r="C251" s="55" t="str">
        <v>单一制</v>
      </c>
      <c r="D251" s="55" t="str">
        <v>35kV</v>
      </c>
      <c r="E251" s="56" t="str">
        <v>/</v>
      </c>
    </row>
    <row customHeight="true" ht="19" r="252">
      <c r="A252" s="15">
        <v>251</v>
      </c>
      <c r="B252" s="55" t="str">
        <v>海南</v>
      </c>
      <c r="C252" s="55" t="str">
        <v>单一制</v>
      </c>
      <c r="D252" s="55" t="str">
        <v>110kV</v>
      </c>
      <c r="E252" s="56" t="str">
        <v>/</v>
      </c>
    </row>
    <row customHeight="true" ht="19" r="253">
      <c r="A253" s="15">
        <v>252</v>
      </c>
      <c r="B253" s="55" t="str">
        <v>海南</v>
      </c>
      <c r="C253" s="55" t="str">
        <v>单一制</v>
      </c>
      <c r="D253" s="55" t="str">
        <v>220kV</v>
      </c>
      <c r="E253" s="56" t="str">
        <v>/</v>
      </c>
    </row>
    <row r="254">
      <c r="A254" s="15">
        <v>253</v>
      </c>
      <c r="B254" s="55" t="str">
        <v>海南</v>
      </c>
      <c r="C254" s="55" t="str">
        <v>两部制</v>
      </c>
      <c r="D254" s="55" t="str">
        <v>10kV</v>
      </c>
      <c r="E254" s="56">
        <v>0.135</v>
      </c>
    </row>
    <row customHeight="true" ht="19" r="255">
      <c r="A255" s="15">
        <v>254</v>
      </c>
      <c r="B255" s="55" t="str">
        <v>海南</v>
      </c>
      <c r="C255" s="55" t="str">
        <v>两部制</v>
      </c>
      <c r="D255" s="55" t="str">
        <v>35kV</v>
      </c>
      <c r="E255" s="56">
        <v>0.0815</v>
      </c>
    </row>
    <row r="256">
      <c r="A256" s="15">
        <v>255</v>
      </c>
      <c r="B256" s="55" t="str">
        <v>海南</v>
      </c>
      <c r="C256" s="55" t="str">
        <v>两部制</v>
      </c>
      <c r="D256" s="55" t="str">
        <v>110kV</v>
      </c>
      <c r="E256" s="56">
        <v>0.0798</v>
      </c>
    </row>
    <row r="257">
      <c r="A257" s="15">
        <v>256</v>
      </c>
      <c r="B257" s="55" t="str">
        <v>海南</v>
      </c>
      <c r="C257" s="55" t="str">
        <v>两部制</v>
      </c>
      <c r="D257" s="55" t="str">
        <v>220kV</v>
      </c>
      <c r="E257" s="56">
        <v>0.07</v>
      </c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26"/>
  </cols>
  <sheetData>
    <row customHeight="true" ht="19" r="1">
      <c r="A1" s="12" t="str">
        <v>序号</v>
      </c>
      <c r="B1" s="52" t="str">
        <v>省份</v>
      </c>
      <c r="C1" s="52" t="str">
        <v>区域电网</v>
      </c>
      <c r="D1" s="53" t="str">
        <v>政府性基金及附加</v>
      </c>
    </row>
    <row r="2">
      <c r="A2" s="15">
        <v>1</v>
      </c>
      <c r="B2" s="20" t="str">
        <v>北京</v>
      </c>
      <c r="C2" s="20" t="str">
        <v>华北电网</v>
      </c>
      <c r="D2" s="15">
        <v>0.02716875</v>
      </c>
    </row>
    <row r="3">
      <c r="A3" s="15">
        <v>2</v>
      </c>
      <c r="B3" s="20" t="str">
        <v>天津</v>
      </c>
      <c r="C3" s="20" t="str">
        <v>华北电网</v>
      </c>
      <c r="D3" s="15">
        <v>0.02716875</v>
      </c>
    </row>
    <row r="4">
      <c r="A4" s="15">
        <v>3</v>
      </c>
      <c r="B4" s="20" t="str">
        <v>河北南网</v>
      </c>
      <c r="C4" s="20" t="str">
        <v>华北电网</v>
      </c>
      <c r="D4" s="15">
        <v>0.02406875</v>
      </c>
    </row>
    <row r="5">
      <c r="A5" s="15">
        <v>4</v>
      </c>
      <c r="B5" s="20" t="str">
        <v>冀北</v>
      </c>
      <c r="C5" s="20" t="str">
        <v>华北电网</v>
      </c>
      <c r="D5" s="15">
        <v>0.02406875</v>
      </c>
    </row>
    <row r="6">
      <c r="A6" s="15">
        <v>5</v>
      </c>
      <c r="B6" s="20" t="str">
        <v>山东</v>
      </c>
      <c r="C6" s="20" t="str">
        <v>华北电网</v>
      </c>
      <c r="D6" s="15">
        <v>0.02716875</v>
      </c>
    </row>
    <row r="7">
      <c r="A7" s="15">
        <v>6</v>
      </c>
      <c r="B7" s="20" t="str">
        <v>山西</v>
      </c>
      <c r="C7" s="20" t="str">
        <v>华北电网</v>
      </c>
      <c r="D7" s="15">
        <v>0.04336875</v>
      </c>
    </row>
    <row r="8">
      <c r="A8" s="15">
        <v>7</v>
      </c>
      <c r="B8" s="55" t="str">
        <v>蒙西</v>
      </c>
      <c r="C8" s="55" t="str">
        <v>蒙西电网</v>
      </c>
      <c r="D8" s="30">
        <v>0.022425</v>
      </c>
    </row>
    <row r="9">
      <c r="A9" s="15">
        <v>8</v>
      </c>
      <c r="B9" s="20" t="str">
        <v>上海</v>
      </c>
      <c r="C9" s="20" t="str">
        <v>华中电网</v>
      </c>
      <c r="D9" s="15">
        <v>0.029115</v>
      </c>
    </row>
    <row r="10">
      <c r="A10" s="15">
        <v>9</v>
      </c>
      <c r="B10" s="20" t="str">
        <v>江苏</v>
      </c>
      <c r="C10" s="20" t="str">
        <v>华中电网</v>
      </c>
      <c r="D10" s="15">
        <v>0.0294</v>
      </c>
    </row>
    <row r="11">
      <c r="A11" s="15">
        <v>10</v>
      </c>
      <c r="B11" s="20" t="str">
        <v>浙江</v>
      </c>
      <c r="C11" s="20" t="str">
        <v>华中电网</v>
      </c>
      <c r="D11" s="15">
        <v>0.02923875</v>
      </c>
    </row>
    <row r="12">
      <c r="A12" s="15">
        <v>11</v>
      </c>
      <c r="B12" s="20" t="str">
        <v>安徽</v>
      </c>
      <c r="C12" s="20" t="str">
        <v>华中电网</v>
      </c>
      <c r="D12" s="15">
        <v>0.02887</v>
      </c>
    </row>
    <row r="13">
      <c r="A13" s="15">
        <v>12</v>
      </c>
      <c r="B13" s="20" t="str">
        <v>福建</v>
      </c>
      <c r="C13" s="20" t="str">
        <v>华中电网</v>
      </c>
      <c r="D13" s="15">
        <v>0.02766875</v>
      </c>
    </row>
    <row r="14">
      <c r="A14" s="15">
        <v>13</v>
      </c>
      <c r="B14" s="55" t="str">
        <v>湖北</v>
      </c>
      <c r="C14" s="55" t="str">
        <v>华南电网</v>
      </c>
      <c r="D14" s="30">
        <v>0.0452</v>
      </c>
    </row>
    <row r="15">
      <c r="A15" s="15">
        <v>14</v>
      </c>
      <c r="B15" s="55" t="str">
        <v>河南</v>
      </c>
      <c r="C15" s="55" t="str">
        <v>华南电网</v>
      </c>
      <c r="D15" s="30">
        <v>0.028889375</v>
      </c>
    </row>
    <row r="16">
      <c r="A16" s="15">
        <v>15</v>
      </c>
      <c r="B16" s="55" t="str">
        <v>湖南</v>
      </c>
      <c r="C16" s="55" t="str">
        <v>华南电网</v>
      </c>
      <c r="D16" s="30">
        <v>0.04625</v>
      </c>
    </row>
    <row r="17">
      <c r="A17" s="15">
        <v>16</v>
      </c>
      <c r="B17" s="55" t="str">
        <v>江西</v>
      </c>
      <c r="C17" s="55" t="str">
        <v>华南电网</v>
      </c>
      <c r="D17" s="30">
        <v>0.0267525</v>
      </c>
    </row>
    <row r="18">
      <c r="A18" s="15">
        <v>17</v>
      </c>
      <c r="B18" s="20" t="str">
        <v>辽宁</v>
      </c>
      <c r="C18" s="20" t="str">
        <v>东北电网</v>
      </c>
      <c r="D18" s="15">
        <v>0.026825</v>
      </c>
    </row>
    <row r="19">
      <c r="A19" s="15">
        <v>18</v>
      </c>
      <c r="B19" s="20" t="str">
        <v>吉林</v>
      </c>
      <c r="C19" s="20" t="str">
        <v>东北电网</v>
      </c>
      <c r="D19" s="15">
        <v>0.045025</v>
      </c>
    </row>
    <row r="20">
      <c r="A20" s="15">
        <v>19</v>
      </c>
      <c r="B20" s="20" t="str">
        <v>黑龙江</v>
      </c>
      <c r="C20" s="20" t="str">
        <v>东北电网</v>
      </c>
      <c r="D20" s="15">
        <v>0.024825</v>
      </c>
    </row>
    <row r="21">
      <c r="A21" s="15">
        <v>20</v>
      </c>
      <c r="B21" s="20" t="str">
        <v>蒙东</v>
      </c>
      <c r="C21" s="20" t="str">
        <v>东北电网</v>
      </c>
      <c r="D21" s="15">
        <v>0.022425</v>
      </c>
    </row>
    <row r="22">
      <c r="A22" s="15">
        <v>21</v>
      </c>
      <c r="B22" s="55" t="str">
        <v>陕西</v>
      </c>
      <c r="C22" s="55" t="str">
        <v>西北电网</v>
      </c>
      <c r="D22" s="30">
        <v>0.026325</v>
      </c>
    </row>
    <row r="23">
      <c r="A23" s="15">
        <v>22</v>
      </c>
      <c r="B23" s="55" t="str">
        <v>甘肃</v>
      </c>
      <c r="C23" s="55" t="str">
        <v>西北电网</v>
      </c>
      <c r="D23" s="30">
        <v>0.022925</v>
      </c>
    </row>
    <row r="24">
      <c r="A24" s="15">
        <v>23</v>
      </c>
      <c r="B24" s="55" t="str">
        <v>青海</v>
      </c>
      <c r="C24" s="55" t="str">
        <v>西北电网</v>
      </c>
      <c r="D24" s="30">
        <v>0.021525</v>
      </c>
    </row>
    <row r="25">
      <c r="A25" s="15">
        <v>24</v>
      </c>
      <c r="B25" s="55" t="str">
        <v>宁夏</v>
      </c>
      <c r="C25" s="55" t="str">
        <v>西北电网</v>
      </c>
      <c r="D25" s="30">
        <v>0.021325</v>
      </c>
    </row>
    <row r="26">
      <c r="A26" s="15">
        <v>25</v>
      </c>
      <c r="B26" s="55" t="str">
        <v>新疆</v>
      </c>
      <c r="C26" s="55" t="str">
        <v>西北电网</v>
      </c>
      <c r="D26" s="30">
        <v>0.0041</v>
      </c>
    </row>
    <row r="27">
      <c r="A27" s="15">
        <v>26</v>
      </c>
      <c r="B27" s="20" t="str">
        <v>重庆</v>
      </c>
      <c r="C27" s="20" t="str">
        <v>西南电网</v>
      </c>
      <c r="D27" s="15">
        <v>0.047694</v>
      </c>
    </row>
    <row r="28">
      <c r="A28" s="15">
        <v>27</v>
      </c>
      <c r="B28" s="20" t="str">
        <v>四川</v>
      </c>
      <c r="C28" s="20" t="str">
        <v>西南电网</v>
      </c>
      <c r="D28" s="15">
        <v>0.04716875</v>
      </c>
    </row>
    <row r="29">
      <c r="A29" s="15">
        <v>28</v>
      </c>
      <c r="B29" s="55" t="str">
        <v>广东</v>
      </c>
      <c r="C29" s="55" t="str">
        <v>南方电网</v>
      </c>
      <c r="D29" s="30">
        <v>0.02766875</v>
      </c>
    </row>
    <row r="30">
      <c r="A30" s="15">
        <v>29</v>
      </c>
      <c r="B30" s="55" t="str">
        <v>广西</v>
      </c>
      <c r="C30" s="55" t="str">
        <v>南方电网</v>
      </c>
      <c r="D30" s="30">
        <v>0.041825</v>
      </c>
    </row>
    <row r="31">
      <c r="A31" s="15">
        <v>30</v>
      </c>
      <c r="B31" s="55" t="str">
        <v>云南</v>
      </c>
      <c r="C31" s="55" t="str">
        <v>南方电网</v>
      </c>
      <c r="D31" s="30">
        <v>0.063875</v>
      </c>
    </row>
    <row r="32">
      <c r="A32" s="15">
        <v>31</v>
      </c>
      <c r="B32" s="55" t="str">
        <v>贵州</v>
      </c>
      <c r="C32" s="55" t="str">
        <v>南方电网</v>
      </c>
      <c r="D32" s="30">
        <v>0.025325</v>
      </c>
    </row>
    <row r="33">
      <c r="A33" s="15">
        <v>32</v>
      </c>
      <c r="B33" s="55" t="str">
        <v>海南</v>
      </c>
      <c r="C33" s="55" t="str">
        <v>南方电网</v>
      </c>
      <c r="D33" s="30">
        <v>0.026825</v>
      </c>
    </row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26"/>
    <col collapsed="false" customWidth="true" hidden="false" max="5" min="5" style="0" width="26"/>
  </cols>
  <sheetData>
    <row customHeight="true" ht="19" r="1">
      <c r="A1" s="12" t="str">
        <v>序号</v>
      </c>
      <c r="B1" s="52" t="str">
        <v>省份</v>
      </c>
      <c r="C1" s="52" t="str">
        <v>电压等级</v>
      </c>
      <c r="D1" s="53" t="str">
        <v>最大需量电价（元/千瓦·月）</v>
      </c>
      <c r="E1" s="53" t="str">
        <v>变压器容量电价（元/千伏安·月）</v>
      </c>
    </row>
    <row r="2">
      <c r="A2" s="15">
        <v>1</v>
      </c>
      <c r="B2" s="20" t="str">
        <v>北京</v>
      </c>
      <c r="C2" s="20" t="str">
        <v>10kV</v>
      </c>
      <c r="D2" s="15">
        <v>51</v>
      </c>
      <c r="E2" s="15">
        <v>32</v>
      </c>
    </row>
    <row customHeight="true" ht="19" r="3">
      <c r="A3" s="15">
        <v>2</v>
      </c>
      <c r="B3" s="20" t="str">
        <v>北京</v>
      </c>
      <c r="C3" s="20" t="str">
        <v>35kV</v>
      </c>
      <c r="D3" s="15">
        <v>48</v>
      </c>
      <c r="E3" s="15">
        <v>30</v>
      </c>
    </row>
    <row customHeight="true" ht="19" r="4">
      <c r="A4" s="15">
        <v>3</v>
      </c>
      <c r="B4" s="20" t="str">
        <v>北京</v>
      </c>
      <c r="C4" s="20" t="str">
        <v>110kV</v>
      </c>
      <c r="D4" s="15">
        <v>48</v>
      </c>
      <c r="E4" s="15">
        <v>30</v>
      </c>
    </row>
    <row customHeight="true" ht="19" r="5">
      <c r="A5" s="15">
        <v>4</v>
      </c>
      <c r="B5" s="20" t="str">
        <v>北京</v>
      </c>
      <c r="C5" s="20" t="str">
        <v>220kV</v>
      </c>
      <c r="D5" s="15">
        <v>45</v>
      </c>
      <c r="E5" s="15">
        <v>28</v>
      </c>
    </row>
    <row r="6">
      <c r="A6" s="15">
        <v>5</v>
      </c>
      <c r="B6" s="55" t="str">
        <v>天津</v>
      </c>
      <c r="C6" s="55" t="str">
        <v>10kV</v>
      </c>
      <c r="D6" s="30">
        <v>41.6</v>
      </c>
      <c r="E6" s="30">
        <v>26</v>
      </c>
    </row>
    <row customHeight="true" ht="19" r="7">
      <c r="A7" s="15">
        <v>6</v>
      </c>
      <c r="B7" s="55" t="str">
        <v>天津</v>
      </c>
      <c r="C7" s="55" t="str">
        <v>35kV</v>
      </c>
      <c r="D7" s="30">
        <v>38.4</v>
      </c>
      <c r="E7" s="30">
        <v>24</v>
      </c>
    </row>
    <row r="8">
      <c r="A8" s="15">
        <v>7</v>
      </c>
      <c r="B8" s="55" t="str">
        <v>天津</v>
      </c>
      <c r="C8" s="55" t="str">
        <v>110kV</v>
      </c>
      <c r="D8" s="30">
        <v>38.4</v>
      </c>
      <c r="E8" s="30">
        <v>24</v>
      </c>
    </row>
    <row r="9">
      <c r="A9" s="15">
        <v>8</v>
      </c>
      <c r="B9" s="55" t="str">
        <v>天津</v>
      </c>
      <c r="C9" s="55" t="str">
        <v>220kV</v>
      </c>
      <c r="D9" s="30">
        <v>35.2</v>
      </c>
      <c r="E9" s="30">
        <v>22</v>
      </c>
    </row>
    <row r="10">
      <c r="A10" s="15">
        <v>9</v>
      </c>
      <c r="B10" s="20" t="str">
        <v>河北南网</v>
      </c>
      <c r="C10" s="20" t="str">
        <v>10kV</v>
      </c>
      <c r="D10" s="15">
        <v>35</v>
      </c>
      <c r="E10" s="15">
        <v>21.9</v>
      </c>
    </row>
    <row customHeight="true" ht="19" r="11">
      <c r="A11" s="15">
        <v>10</v>
      </c>
      <c r="B11" s="20" t="str">
        <v>河北南网</v>
      </c>
      <c r="C11" s="20" t="str">
        <v>35kV</v>
      </c>
      <c r="D11" s="15">
        <v>35</v>
      </c>
      <c r="E11" s="15">
        <v>21.9</v>
      </c>
    </row>
    <row r="12">
      <c r="A12" s="15">
        <v>11</v>
      </c>
      <c r="B12" s="20" t="str">
        <v>河北南网</v>
      </c>
      <c r="C12" s="20" t="str">
        <v>110kV</v>
      </c>
      <c r="D12" s="15">
        <v>32</v>
      </c>
      <c r="E12" s="15">
        <v>20</v>
      </c>
    </row>
    <row r="13">
      <c r="A13" s="15">
        <v>12</v>
      </c>
      <c r="B13" s="20" t="str">
        <v>河北南网</v>
      </c>
      <c r="C13" s="20" t="str">
        <v>220kV</v>
      </c>
      <c r="D13" s="15">
        <v>32</v>
      </c>
      <c r="E13" s="15">
        <v>20</v>
      </c>
    </row>
    <row r="14">
      <c r="A14" s="15">
        <v>13</v>
      </c>
      <c r="B14" s="55" t="str">
        <v>冀北</v>
      </c>
      <c r="C14" s="55" t="str">
        <v>10kV</v>
      </c>
      <c r="D14" s="30">
        <v>37.3</v>
      </c>
      <c r="E14" s="30">
        <v>23.3</v>
      </c>
    </row>
    <row customHeight="true" ht="19" r="15">
      <c r="A15" s="15">
        <v>14</v>
      </c>
      <c r="B15" s="55" t="str">
        <v>冀北</v>
      </c>
      <c r="C15" s="55" t="str">
        <v>35kV</v>
      </c>
      <c r="D15" s="30">
        <v>37.3</v>
      </c>
      <c r="E15" s="30">
        <v>23.3</v>
      </c>
    </row>
    <row r="16">
      <c r="A16" s="15">
        <v>15</v>
      </c>
      <c r="B16" s="55" t="str">
        <v>冀北</v>
      </c>
      <c r="C16" s="55" t="str">
        <v>110kV</v>
      </c>
      <c r="D16" s="30">
        <v>34.6</v>
      </c>
      <c r="E16" s="30">
        <v>21.6</v>
      </c>
    </row>
    <row r="17">
      <c r="A17" s="15">
        <v>16</v>
      </c>
      <c r="B17" s="55" t="str">
        <v>冀北</v>
      </c>
      <c r="C17" s="55" t="str">
        <v>220kV</v>
      </c>
      <c r="D17" s="30">
        <v>34.6</v>
      </c>
      <c r="E17" s="30">
        <v>21.6</v>
      </c>
    </row>
    <row r="18">
      <c r="A18" s="15">
        <v>17</v>
      </c>
      <c r="B18" s="20" t="str">
        <v>山东</v>
      </c>
      <c r="C18" s="20" t="str">
        <v>10kV</v>
      </c>
      <c r="D18" s="15">
        <v>38.4</v>
      </c>
      <c r="E18" s="15">
        <v>24</v>
      </c>
    </row>
    <row customHeight="true" ht="19" r="19">
      <c r="A19" s="15">
        <v>18</v>
      </c>
      <c r="B19" s="20" t="str">
        <v>山东</v>
      </c>
      <c r="C19" s="20" t="str">
        <v>35kV</v>
      </c>
      <c r="D19" s="15">
        <v>35.2</v>
      </c>
      <c r="E19" s="15">
        <v>22</v>
      </c>
    </row>
    <row r="20">
      <c r="A20" s="15">
        <v>19</v>
      </c>
      <c r="B20" s="20" t="str">
        <v>山东</v>
      </c>
      <c r="C20" s="20" t="str">
        <v>110kV</v>
      </c>
      <c r="D20" s="15">
        <v>35.2</v>
      </c>
      <c r="E20" s="15">
        <v>22</v>
      </c>
    </row>
    <row r="21">
      <c r="A21" s="15">
        <v>20</v>
      </c>
      <c r="B21" s="20" t="str">
        <v>山东</v>
      </c>
      <c r="C21" s="20" t="str">
        <v>220kV</v>
      </c>
      <c r="D21" s="15">
        <v>32</v>
      </c>
      <c r="E21" s="15">
        <v>20</v>
      </c>
    </row>
    <row r="22">
      <c r="A22" s="15">
        <v>21</v>
      </c>
      <c r="B22" s="55" t="str">
        <v>山西</v>
      </c>
      <c r="C22" s="55" t="str">
        <v>10kV</v>
      </c>
      <c r="D22" s="30">
        <v>36</v>
      </c>
      <c r="E22" s="30">
        <v>22.5</v>
      </c>
    </row>
    <row customHeight="true" ht="19" r="23">
      <c r="A23" s="15">
        <v>22</v>
      </c>
      <c r="B23" s="55" t="str">
        <v>山西</v>
      </c>
      <c r="C23" s="55" t="str">
        <v>35kV</v>
      </c>
      <c r="D23" s="30">
        <v>36</v>
      </c>
      <c r="E23" s="30">
        <v>22.5</v>
      </c>
    </row>
    <row r="24">
      <c r="A24" s="15">
        <v>23</v>
      </c>
      <c r="B24" s="55" t="str">
        <v>山西</v>
      </c>
      <c r="C24" s="55" t="str">
        <v>110kV</v>
      </c>
      <c r="D24" s="30">
        <v>33.6</v>
      </c>
      <c r="E24" s="30">
        <v>21</v>
      </c>
    </row>
    <row r="25">
      <c r="A25" s="15">
        <v>24</v>
      </c>
      <c r="B25" s="55" t="str">
        <v>山西</v>
      </c>
      <c r="C25" s="55" t="str">
        <v>220kV</v>
      </c>
      <c r="D25" s="30">
        <v>33.6</v>
      </c>
      <c r="E25" s="30">
        <v>21</v>
      </c>
    </row>
    <row r="26">
      <c r="A26" s="15">
        <v>25</v>
      </c>
      <c r="B26" s="20" t="str">
        <v>蒙西</v>
      </c>
      <c r="C26" s="20" t="str">
        <v>10kV</v>
      </c>
      <c r="D26" s="15">
        <v>32.8</v>
      </c>
      <c r="E26" s="15">
        <v>20.5</v>
      </c>
    </row>
    <row customHeight="true" ht="19" r="27">
      <c r="A27" s="15">
        <v>26</v>
      </c>
      <c r="B27" s="20" t="str">
        <v>蒙西</v>
      </c>
      <c r="C27" s="20" t="str">
        <v>35kV</v>
      </c>
      <c r="D27" s="15">
        <v>32.8</v>
      </c>
      <c r="E27" s="15">
        <v>20.5</v>
      </c>
    </row>
    <row r="28">
      <c r="A28" s="15">
        <v>27</v>
      </c>
      <c r="B28" s="20" t="str">
        <v>蒙西</v>
      </c>
      <c r="C28" s="20" t="str">
        <v>110kV</v>
      </c>
      <c r="D28" s="15">
        <v>31.2</v>
      </c>
      <c r="E28" s="15">
        <v>19.5</v>
      </c>
    </row>
    <row r="29">
      <c r="A29" s="15">
        <v>28</v>
      </c>
      <c r="B29" s="20" t="str">
        <v>蒙西</v>
      </c>
      <c r="C29" s="20" t="str">
        <v>220kV</v>
      </c>
      <c r="D29" s="15">
        <v>31.2</v>
      </c>
      <c r="E29" s="15">
        <v>19.5</v>
      </c>
    </row>
    <row r="30">
      <c r="A30" s="15">
        <v>29</v>
      </c>
      <c r="B30" s="55" t="str">
        <v>上海</v>
      </c>
      <c r="C30" s="55" t="str">
        <v>10kV</v>
      </c>
      <c r="D30" s="30">
        <v>40.8</v>
      </c>
      <c r="E30" s="30">
        <v>25.5</v>
      </c>
    </row>
    <row customHeight="true" ht="19" r="31">
      <c r="A31" s="15">
        <v>30</v>
      </c>
      <c r="B31" s="55" t="str">
        <v>上海</v>
      </c>
      <c r="C31" s="55" t="str">
        <v>35kV</v>
      </c>
      <c r="D31" s="30">
        <v>40.8</v>
      </c>
      <c r="E31" s="30">
        <v>25.5</v>
      </c>
    </row>
    <row r="32">
      <c r="A32" s="15">
        <v>31</v>
      </c>
      <c r="B32" s="55" t="str">
        <v>上海</v>
      </c>
      <c r="C32" s="55" t="str">
        <v>110kV</v>
      </c>
      <c r="D32" s="30">
        <v>38.4</v>
      </c>
      <c r="E32" s="30">
        <v>24</v>
      </c>
    </row>
    <row r="33">
      <c r="A33" s="15">
        <v>32</v>
      </c>
      <c r="B33" s="55" t="str">
        <v>上海</v>
      </c>
      <c r="C33" s="55" t="str">
        <v>220kV</v>
      </c>
      <c r="D33" s="30">
        <v>38.4</v>
      </c>
      <c r="E33" s="30">
        <v>24</v>
      </c>
    </row>
    <row r="34">
      <c r="A34" s="15">
        <v>33</v>
      </c>
      <c r="B34" s="20" t="str">
        <v>江苏</v>
      </c>
      <c r="C34" s="20" t="str">
        <v>10kV</v>
      </c>
      <c r="D34" s="15">
        <v>51.2</v>
      </c>
      <c r="E34" s="15">
        <v>32</v>
      </c>
    </row>
    <row customHeight="true" ht="19" r="35">
      <c r="A35" s="15">
        <v>34</v>
      </c>
      <c r="B35" s="20" t="str">
        <v>江苏</v>
      </c>
      <c r="C35" s="20" t="str">
        <v>35kV</v>
      </c>
      <c r="D35" s="15">
        <v>48</v>
      </c>
      <c r="E35" s="15">
        <v>30</v>
      </c>
    </row>
    <row r="36">
      <c r="A36" s="15">
        <v>35</v>
      </c>
      <c r="B36" s="20" t="str">
        <v>江苏</v>
      </c>
      <c r="C36" s="20" t="str">
        <v>110kV</v>
      </c>
      <c r="D36" s="15">
        <v>44.8</v>
      </c>
      <c r="E36" s="15">
        <v>28</v>
      </c>
    </row>
    <row r="37">
      <c r="A37" s="15">
        <v>36</v>
      </c>
      <c r="B37" s="20" t="str">
        <v>江苏</v>
      </c>
      <c r="C37" s="20" t="str">
        <v>220kV</v>
      </c>
      <c r="D37" s="15">
        <v>41.6</v>
      </c>
      <c r="E37" s="15">
        <v>26</v>
      </c>
    </row>
    <row r="38">
      <c r="A38" s="15">
        <v>37</v>
      </c>
      <c r="B38" s="55" t="str">
        <v>浙江</v>
      </c>
      <c r="C38" s="55" t="str">
        <v>10kV</v>
      </c>
      <c r="D38" s="30">
        <v>48</v>
      </c>
      <c r="E38" s="30">
        <v>30</v>
      </c>
    </row>
    <row customHeight="true" ht="19" r="39">
      <c r="A39" s="15">
        <v>38</v>
      </c>
      <c r="B39" s="55" t="str">
        <v>浙江</v>
      </c>
      <c r="C39" s="55" t="str">
        <v>35kV</v>
      </c>
      <c r="D39" s="30">
        <v>44.8</v>
      </c>
      <c r="E39" s="30">
        <v>28</v>
      </c>
    </row>
    <row r="40">
      <c r="A40" s="15">
        <v>39</v>
      </c>
      <c r="B40" s="55" t="str">
        <v>浙江</v>
      </c>
      <c r="C40" s="55" t="str">
        <v>110kV</v>
      </c>
      <c r="D40" s="30">
        <v>41.6</v>
      </c>
      <c r="E40" s="30">
        <v>26</v>
      </c>
    </row>
    <row r="41">
      <c r="A41" s="15">
        <v>40</v>
      </c>
      <c r="B41" s="55" t="str">
        <v>浙江</v>
      </c>
      <c r="C41" s="55" t="str">
        <v>220kV</v>
      </c>
      <c r="D41" s="30">
        <v>38.3</v>
      </c>
      <c r="E41" s="30">
        <v>24</v>
      </c>
    </row>
    <row r="42">
      <c r="A42" s="15">
        <v>41</v>
      </c>
      <c r="B42" s="20" t="str">
        <v>安徽</v>
      </c>
      <c r="C42" s="20" t="str">
        <v>10kV</v>
      </c>
      <c r="D42" s="15">
        <v>48</v>
      </c>
      <c r="E42" s="15">
        <v>30</v>
      </c>
    </row>
    <row customHeight="true" ht="19" r="43">
      <c r="A43" s="15">
        <v>42</v>
      </c>
      <c r="B43" s="20" t="str">
        <v>安徽</v>
      </c>
      <c r="C43" s="20" t="str">
        <v>35kV</v>
      </c>
      <c r="D43" s="15">
        <v>45.6</v>
      </c>
      <c r="E43" s="15">
        <v>28.5</v>
      </c>
    </row>
    <row r="44">
      <c r="A44" s="15">
        <v>43</v>
      </c>
      <c r="B44" s="20" t="str">
        <v>安徽</v>
      </c>
      <c r="C44" s="20" t="str">
        <v>110kV</v>
      </c>
      <c r="D44" s="15">
        <v>44</v>
      </c>
      <c r="E44" s="15">
        <v>27.5</v>
      </c>
    </row>
    <row r="45">
      <c r="A45" s="15">
        <v>44</v>
      </c>
      <c r="B45" s="20" t="str">
        <v>安徽</v>
      </c>
      <c r="C45" s="20" t="str">
        <v>220kV</v>
      </c>
      <c r="D45" s="15">
        <v>40.8</v>
      </c>
      <c r="E45" s="15">
        <v>25.5</v>
      </c>
    </row>
    <row r="46">
      <c r="A46" s="15">
        <v>45</v>
      </c>
      <c r="B46" s="55" t="str">
        <v>福建</v>
      </c>
      <c r="C46" s="55" t="str">
        <v>10kV</v>
      </c>
      <c r="D46" s="30">
        <v>40</v>
      </c>
      <c r="E46" s="30">
        <v>25</v>
      </c>
    </row>
    <row customHeight="true" ht="19" r="47">
      <c r="A47" s="15">
        <v>46</v>
      </c>
      <c r="B47" s="55" t="str">
        <v>福建</v>
      </c>
      <c r="C47" s="55" t="str">
        <v>35kV</v>
      </c>
      <c r="D47" s="30">
        <v>39</v>
      </c>
      <c r="E47" s="30">
        <v>24.4</v>
      </c>
    </row>
    <row r="48">
      <c r="A48" s="15">
        <v>47</v>
      </c>
      <c r="B48" s="55" t="str">
        <v>福建</v>
      </c>
      <c r="C48" s="55" t="str">
        <v>110kV</v>
      </c>
      <c r="D48" s="30">
        <v>38</v>
      </c>
      <c r="E48" s="30">
        <v>23.8</v>
      </c>
    </row>
    <row r="49">
      <c r="A49" s="15">
        <v>48</v>
      </c>
      <c r="B49" s="55" t="str">
        <v>福建</v>
      </c>
      <c r="C49" s="55" t="str">
        <v>220kV</v>
      </c>
      <c r="D49" s="30">
        <v>37</v>
      </c>
      <c r="E49" s="30">
        <v>23.1</v>
      </c>
    </row>
    <row r="50">
      <c r="A50" s="15">
        <v>49</v>
      </c>
      <c r="B50" s="20" t="str">
        <v>湖北</v>
      </c>
      <c r="C50" s="20" t="str">
        <v>10kV</v>
      </c>
      <c r="D50" s="15">
        <v>42</v>
      </c>
      <c r="E50" s="15">
        <v>26.3</v>
      </c>
    </row>
    <row customHeight="true" ht="19" r="51">
      <c r="A51" s="15">
        <v>50</v>
      </c>
      <c r="B51" s="20" t="str">
        <v>湖北</v>
      </c>
      <c r="C51" s="20" t="str">
        <v>35kV</v>
      </c>
      <c r="D51" s="15">
        <v>42</v>
      </c>
      <c r="E51" s="15">
        <v>26.3</v>
      </c>
    </row>
    <row r="52">
      <c r="A52" s="15">
        <v>51</v>
      </c>
      <c r="B52" s="20" t="str">
        <v>湖北</v>
      </c>
      <c r="C52" s="20" t="str">
        <v>110kV</v>
      </c>
      <c r="D52" s="15">
        <v>39</v>
      </c>
      <c r="E52" s="15">
        <v>24.4</v>
      </c>
    </row>
    <row r="53">
      <c r="A53" s="15">
        <v>52</v>
      </c>
      <c r="B53" s="20" t="str">
        <v>湖北</v>
      </c>
      <c r="C53" s="20" t="str">
        <v>220kV</v>
      </c>
      <c r="D53" s="15">
        <v>39</v>
      </c>
      <c r="E53" s="15">
        <v>24.4</v>
      </c>
    </row>
    <row r="54">
      <c r="A54" s="15">
        <v>53</v>
      </c>
      <c r="B54" s="55" t="str">
        <v>河南</v>
      </c>
      <c r="C54" s="55" t="str">
        <v>10kV</v>
      </c>
      <c r="D54" s="30">
        <v>40</v>
      </c>
      <c r="E54" s="30">
        <v>25</v>
      </c>
    </row>
    <row customHeight="true" ht="19" r="55">
      <c r="A55" s="15">
        <v>54</v>
      </c>
      <c r="B55" s="55" t="str">
        <v>河南</v>
      </c>
      <c r="C55" s="55" t="str">
        <v>35kV</v>
      </c>
      <c r="D55" s="30">
        <v>36.9</v>
      </c>
      <c r="E55" s="30">
        <v>23</v>
      </c>
    </row>
    <row r="56">
      <c r="A56" s="15">
        <v>55</v>
      </c>
      <c r="B56" s="55" t="str">
        <v>河南</v>
      </c>
      <c r="C56" s="55" t="str">
        <v>110kV</v>
      </c>
      <c r="D56" s="30">
        <v>33.7</v>
      </c>
      <c r="E56" s="30">
        <v>21</v>
      </c>
    </row>
    <row r="57">
      <c r="A57" s="15">
        <v>56</v>
      </c>
      <c r="B57" s="55" t="str">
        <v>河南</v>
      </c>
      <c r="C57" s="55" t="str">
        <v>220kV</v>
      </c>
      <c r="D57" s="30">
        <v>30.5</v>
      </c>
      <c r="E57" s="30">
        <v>19</v>
      </c>
    </row>
    <row r="58">
      <c r="A58" s="15">
        <v>57</v>
      </c>
      <c r="B58" s="20" t="str">
        <v>湖南</v>
      </c>
      <c r="C58" s="20" t="str">
        <v>10kV</v>
      </c>
      <c r="D58" s="15">
        <v>33.8</v>
      </c>
      <c r="E58" s="15">
        <v>21.1</v>
      </c>
    </row>
    <row customHeight="true" ht="19" r="59">
      <c r="A59" s="15">
        <v>58</v>
      </c>
      <c r="B59" s="20" t="str">
        <v>湖南</v>
      </c>
      <c r="C59" s="20" t="str">
        <v>35kV</v>
      </c>
      <c r="D59" s="15">
        <v>33.8</v>
      </c>
      <c r="E59" s="15">
        <v>21.1</v>
      </c>
    </row>
    <row r="60">
      <c r="A60" s="15">
        <v>59</v>
      </c>
      <c r="B60" s="20" t="str">
        <v>湖南</v>
      </c>
      <c r="C60" s="20" t="str">
        <v>110kV</v>
      </c>
      <c r="D60" s="15">
        <v>30.6</v>
      </c>
      <c r="E60" s="15">
        <v>19.1</v>
      </c>
    </row>
    <row r="61">
      <c r="A61" s="15">
        <v>60</v>
      </c>
      <c r="B61" s="20" t="str">
        <v>湖南</v>
      </c>
      <c r="C61" s="20" t="str">
        <v>220kV</v>
      </c>
      <c r="D61" s="15">
        <v>30.6</v>
      </c>
      <c r="E61" s="15">
        <v>19.1</v>
      </c>
    </row>
    <row r="62">
      <c r="A62" s="15">
        <v>61</v>
      </c>
      <c r="B62" s="55" t="str">
        <v>江西</v>
      </c>
      <c r="C62" s="55" t="str">
        <v>10kV</v>
      </c>
      <c r="D62" s="30">
        <v>42.3</v>
      </c>
      <c r="E62" s="30">
        <v>26.4</v>
      </c>
    </row>
    <row customHeight="true" ht="19" r="63">
      <c r="A63" s="15">
        <v>62</v>
      </c>
      <c r="B63" s="55" t="str">
        <v>江西</v>
      </c>
      <c r="C63" s="55" t="str">
        <v>35kV</v>
      </c>
      <c r="D63" s="30">
        <v>40.6</v>
      </c>
      <c r="E63" s="30">
        <v>25.4</v>
      </c>
    </row>
    <row r="64">
      <c r="A64" s="15">
        <v>63</v>
      </c>
      <c r="B64" s="55" t="str">
        <v>江西</v>
      </c>
      <c r="C64" s="55" t="str">
        <v>110kV</v>
      </c>
      <c r="D64" s="30">
        <v>39.1</v>
      </c>
      <c r="E64" s="30">
        <v>24.4</v>
      </c>
    </row>
    <row r="65">
      <c r="A65" s="15">
        <v>64</v>
      </c>
      <c r="B65" s="55" t="str">
        <v>江西</v>
      </c>
      <c r="C65" s="55" t="str">
        <v>220kV</v>
      </c>
      <c r="D65" s="30">
        <v>37.5</v>
      </c>
      <c r="E65" s="30">
        <v>23.4</v>
      </c>
    </row>
    <row r="66">
      <c r="A66" s="15">
        <v>65</v>
      </c>
      <c r="B66" s="20" t="str">
        <v>辽宁</v>
      </c>
      <c r="C66" s="20" t="str">
        <v>10kV</v>
      </c>
      <c r="D66" s="15">
        <v>36.8</v>
      </c>
      <c r="E66" s="15">
        <v>23</v>
      </c>
    </row>
    <row customHeight="true" ht="19" r="67">
      <c r="A67" s="15">
        <v>66</v>
      </c>
      <c r="B67" s="20" t="str">
        <v>辽宁</v>
      </c>
      <c r="C67" s="20" t="str">
        <v>35kV</v>
      </c>
      <c r="D67" s="15" t="str">
        <v>/</v>
      </c>
      <c r="E67" s="15" t="str">
        <v>/</v>
      </c>
    </row>
    <row r="68">
      <c r="A68" s="15">
        <v>67</v>
      </c>
      <c r="B68" s="20" t="str">
        <v>辽宁</v>
      </c>
      <c r="C68" s="20" t="str">
        <v>110kV</v>
      </c>
      <c r="D68" s="15">
        <v>35.2</v>
      </c>
      <c r="E68" s="15">
        <v>22</v>
      </c>
    </row>
    <row r="69">
      <c r="A69" s="15">
        <v>68</v>
      </c>
      <c r="B69" s="20" t="str">
        <v>辽宁</v>
      </c>
      <c r="C69" s="20" t="str">
        <v>220kV</v>
      </c>
      <c r="D69" s="15">
        <v>33.6</v>
      </c>
      <c r="E69" s="15">
        <v>21</v>
      </c>
    </row>
    <row r="70">
      <c r="A70" s="15">
        <v>69</v>
      </c>
      <c r="B70" s="55" t="str">
        <v>吉林</v>
      </c>
      <c r="C70" s="55" t="str">
        <v>10kV</v>
      </c>
      <c r="D70" s="30">
        <v>36.8</v>
      </c>
      <c r="E70" s="30">
        <v>23</v>
      </c>
    </row>
    <row customHeight="true" ht="19" r="71">
      <c r="A71" s="15">
        <v>70</v>
      </c>
      <c r="B71" s="55" t="str">
        <v>吉林</v>
      </c>
      <c r="C71" s="55" t="str">
        <v>35kV</v>
      </c>
      <c r="D71" s="30"/>
      <c r="E71" s="30"/>
    </row>
    <row r="72">
      <c r="A72" s="15">
        <v>71</v>
      </c>
      <c r="B72" s="55" t="str">
        <v>吉林</v>
      </c>
      <c r="C72" s="55" t="str">
        <v>110kV</v>
      </c>
      <c r="D72" s="30">
        <v>35.2</v>
      </c>
      <c r="E72" s="30">
        <v>22</v>
      </c>
    </row>
    <row r="73">
      <c r="A73" s="15">
        <v>72</v>
      </c>
      <c r="B73" s="55" t="str">
        <v>吉林</v>
      </c>
      <c r="C73" s="55" t="str">
        <v>220kV</v>
      </c>
      <c r="D73" s="30">
        <v>35.2</v>
      </c>
      <c r="E73" s="30">
        <v>22</v>
      </c>
    </row>
    <row r="74">
      <c r="A74" s="15">
        <v>73</v>
      </c>
      <c r="B74" s="20" t="str">
        <v>黑龙江</v>
      </c>
      <c r="C74" s="20" t="str">
        <v>10kV</v>
      </c>
      <c r="D74" s="15">
        <v>36.8</v>
      </c>
      <c r="E74" s="15">
        <v>23</v>
      </c>
    </row>
    <row customHeight="true" ht="19" r="75">
      <c r="A75" s="15">
        <v>74</v>
      </c>
      <c r="B75" s="20" t="str">
        <v>黑龙江</v>
      </c>
      <c r="C75" s="20" t="str">
        <v>35kV</v>
      </c>
      <c r="D75" s="15">
        <v>36.8</v>
      </c>
      <c r="E75" s="15">
        <v>23</v>
      </c>
    </row>
    <row r="76">
      <c r="A76" s="15">
        <v>75</v>
      </c>
      <c r="B76" s="20" t="str">
        <v>黑龙江</v>
      </c>
      <c r="C76" s="20" t="str">
        <v>110kV</v>
      </c>
      <c r="D76" s="15">
        <v>35.2</v>
      </c>
      <c r="E76" s="15">
        <v>22</v>
      </c>
    </row>
    <row r="77">
      <c r="A77" s="15">
        <v>76</v>
      </c>
      <c r="B77" s="20" t="str">
        <v>黑龙江</v>
      </c>
      <c r="C77" s="20" t="str">
        <v>220kV</v>
      </c>
      <c r="D77" s="15">
        <v>35.2</v>
      </c>
      <c r="E77" s="15">
        <v>22</v>
      </c>
    </row>
    <row r="78">
      <c r="A78" s="15">
        <v>77</v>
      </c>
      <c r="B78" s="55" t="str">
        <v>蒙东</v>
      </c>
      <c r="C78" s="55" t="str">
        <v>10kV</v>
      </c>
      <c r="D78" s="30">
        <v>32.8</v>
      </c>
      <c r="E78" s="30">
        <v>20.5</v>
      </c>
    </row>
    <row customHeight="true" ht="19" r="79">
      <c r="A79" s="15">
        <v>78</v>
      </c>
      <c r="B79" s="55" t="str">
        <v>蒙东</v>
      </c>
      <c r="C79" s="55" t="str">
        <v>35kV</v>
      </c>
      <c r="D79" s="30">
        <v>32.8</v>
      </c>
      <c r="E79" s="30">
        <v>20.5</v>
      </c>
    </row>
    <row r="80">
      <c r="A80" s="15">
        <v>79</v>
      </c>
      <c r="B80" s="55" t="str">
        <v>蒙东</v>
      </c>
      <c r="C80" s="55" t="str">
        <v>110kV</v>
      </c>
      <c r="D80" s="30">
        <v>31.2</v>
      </c>
      <c r="E80" s="30">
        <v>19.5</v>
      </c>
    </row>
    <row r="81">
      <c r="A81" s="15">
        <v>80</v>
      </c>
      <c r="B81" s="55" t="str">
        <v>蒙东</v>
      </c>
      <c r="C81" s="55" t="str">
        <v>220kV</v>
      </c>
      <c r="D81" s="30">
        <v>31.2</v>
      </c>
      <c r="E81" s="30">
        <v>19.5</v>
      </c>
    </row>
    <row r="82">
      <c r="A82" s="15">
        <v>81</v>
      </c>
      <c r="B82" s="20" t="str">
        <v>陕西</v>
      </c>
      <c r="C82" s="20" t="str">
        <v>10kV</v>
      </c>
      <c r="D82" s="15">
        <v>35.2</v>
      </c>
      <c r="E82" s="15">
        <v>22</v>
      </c>
    </row>
    <row customHeight="true" ht="19" r="83">
      <c r="A83" s="15">
        <v>82</v>
      </c>
      <c r="B83" s="20" t="str">
        <v>陕西</v>
      </c>
      <c r="C83" s="20" t="str">
        <v>35kV</v>
      </c>
      <c r="D83" s="15">
        <v>35.2</v>
      </c>
      <c r="E83" s="15">
        <v>22</v>
      </c>
    </row>
    <row r="84">
      <c r="A84" s="15">
        <v>83</v>
      </c>
      <c r="B84" s="20" t="str">
        <v>陕西</v>
      </c>
      <c r="C84" s="20" t="str">
        <v>110kV</v>
      </c>
      <c r="D84" s="15">
        <v>32</v>
      </c>
      <c r="E84" s="15">
        <v>20</v>
      </c>
    </row>
    <row r="85">
      <c r="A85" s="15">
        <v>84</v>
      </c>
      <c r="B85" s="20" t="str">
        <v>陕西</v>
      </c>
      <c r="C85" s="20" t="str">
        <v>220kV</v>
      </c>
      <c r="D85" s="15">
        <v>32</v>
      </c>
      <c r="E85" s="15">
        <v>20</v>
      </c>
    </row>
    <row r="86">
      <c r="A86" s="15">
        <v>85</v>
      </c>
      <c r="B86" s="55" t="str">
        <v>甘肃</v>
      </c>
      <c r="C86" s="55" t="str">
        <v>10kV</v>
      </c>
      <c r="D86" s="30">
        <v>38.4</v>
      </c>
      <c r="E86" s="30">
        <v>24</v>
      </c>
    </row>
    <row customHeight="true" ht="19" r="87">
      <c r="A87" s="15">
        <v>86</v>
      </c>
      <c r="B87" s="55" t="str">
        <v>甘肃</v>
      </c>
      <c r="C87" s="55" t="str">
        <v>35kV</v>
      </c>
      <c r="D87" s="30">
        <v>36.8</v>
      </c>
      <c r="E87" s="30">
        <v>23</v>
      </c>
    </row>
    <row r="88">
      <c r="A88" s="15">
        <v>87</v>
      </c>
      <c r="B88" s="55" t="str">
        <v>甘肃</v>
      </c>
      <c r="C88" s="55" t="str">
        <v>110kV</v>
      </c>
      <c r="D88" s="30">
        <v>32.8</v>
      </c>
      <c r="E88" s="30">
        <v>20.5</v>
      </c>
    </row>
    <row r="89">
      <c r="A89" s="15">
        <v>88</v>
      </c>
      <c r="B89" s="55" t="str">
        <v>甘肃</v>
      </c>
      <c r="C89" s="55" t="str">
        <v>220kV</v>
      </c>
      <c r="D89" s="30">
        <v>32.8</v>
      </c>
      <c r="E89" s="30">
        <v>20.5</v>
      </c>
    </row>
    <row r="90">
      <c r="A90" s="15">
        <v>89</v>
      </c>
      <c r="B90" s="20" t="str">
        <v>青海</v>
      </c>
      <c r="C90" s="20" t="str">
        <v>10kV</v>
      </c>
      <c r="D90" s="15">
        <v>33.6</v>
      </c>
      <c r="E90" s="15">
        <v>21</v>
      </c>
    </row>
    <row customHeight="true" ht="19" r="91">
      <c r="A91" s="15">
        <v>90</v>
      </c>
      <c r="B91" s="20" t="str">
        <v>青海</v>
      </c>
      <c r="C91" s="20" t="str">
        <v>35kV</v>
      </c>
      <c r="D91" s="15">
        <v>33.6</v>
      </c>
      <c r="E91" s="15">
        <v>21</v>
      </c>
    </row>
    <row r="92">
      <c r="A92" s="15">
        <v>91</v>
      </c>
      <c r="B92" s="20" t="str">
        <v>青海</v>
      </c>
      <c r="C92" s="20" t="str">
        <v>110kV</v>
      </c>
      <c r="D92" s="15">
        <v>32</v>
      </c>
      <c r="E92" s="15">
        <v>20</v>
      </c>
    </row>
    <row r="93">
      <c r="A93" s="15">
        <v>92</v>
      </c>
      <c r="B93" s="20" t="str">
        <v>青海</v>
      </c>
      <c r="C93" s="20" t="str">
        <v>220kV</v>
      </c>
      <c r="D93" s="15">
        <v>32</v>
      </c>
      <c r="E93" s="15">
        <v>20</v>
      </c>
    </row>
    <row r="94">
      <c r="A94" s="15">
        <v>93</v>
      </c>
      <c r="B94" s="55" t="str">
        <v>宁夏</v>
      </c>
      <c r="C94" s="55" t="str">
        <v>10kV</v>
      </c>
      <c r="D94" s="30">
        <v>28.8</v>
      </c>
      <c r="E94" s="30">
        <v>18</v>
      </c>
    </row>
    <row customHeight="true" ht="19" r="95">
      <c r="A95" s="15">
        <v>94</v>
      </c>
      <c r="B95" s="55" t="str">
        <v>宁夏</v>
      </c>
      <c r="C95" s="55" t="str">
        <v>35kV</v>
      </c>
      <c r="D95" s="30">
        <v>28.8</v>
      </c>
      <c r="E95" s="30">
        <v>18</v>
      </c>
    </row>
    <row r="96">
      <c r="A96" s="15">
        <v>95</v>
      </c>
      <c r="B96" s="55" t="str">
        <v>宁夏</v>
      </c>
      <c r="C96" s="55" t="str">
        <v>110kV</v>
      </c>
      <c r="D96" s="30">
        <v>25.6</v>
      </c>
      <c r="E96" s="30">
        <v>16</v>
      </c>
    </row>
    <row r="97">
      <c r="A97" s="15">
        <v>96</v>
      </c>
      <c r="B97" s="55" t="str">
        <v>宁夏</v>
      </c>
      <c r="C97" s="55" t="str">
        <v>220kV</v>
      </c>
      <c r="D97" s="30">
        <v>25.6</v>
      </c>
      <c r="E97" s="30">
        <v>16</v>
      </c>
    </row>
    <row r="98">
      <c r="A98" s="15">
        <v>97</v>
      </c>
      <c r="B98" s="20" t="str">
        <v>新疆</v>
      </c>
      <c r="C98" s="20" t="str">
        <v>10kV</v>
      </c>
      <c r="D98" s="15">
        <v>32</v>
      </c>
      <c r="E98" s="15">
        <v>20</v>
      </c>
    </row>
    <row customHeight="true" ht="19" r="99">
      <c r="A99" s="15">
        <v>98</v>
      </c>
      <c r="B99" s="20" t="str">
        <v>新疆</v>
      </c>
      <c r="C99" s="20" t="str">
        <v>35kV</v>
      </c>
      <c r="D99" s="15">
        <v>32</v>
      </c>
      <c r="E99" s="15">
        <v>20</v>
      </c>
    </row>
    <row r="100">
      <c r="A100" s="15">
        <v>99</v>
      </c>
      <c r="B100" s="20" t="str">
        <v>新疆</v>
      </c>
      <c r="C100" s="20" t="str">
        <v>110kV</v>
      </c>
      <c r="D100" s="15">
        <v>30.4</v>
      </c>
      <c r="E100" s="15">
        <v>19</v>
      </c>
    </row>
    <row r="101">
      <c r="A101" s="15">
        <v>100</v>
      </c>
      <c r="B101" s="20" t="str">
        <v>新疆</v>
      </c>
      <c r="C101" s="20" t="str">
        <v>220kV</v>
      </c>
      <c r="D101" s="15">
        <v>30.4</v>
      </c>
      <c r="E101" s="15">
        <v>19</v>
      </c>
    </row>
    <row r="102">
      <c r="A102" s="15">
        <v>101</v>
      </c>
      <c r="B102" s="55" t="str">
        <v>重庆</v>
      </c>
      <c r="C102" s="55" t="str">
        <v>10kV</v>
      </c>
      <c r="D102" s="30">
        <v>35.2</v>
      </c>
      <c r="E102" s="30">
        <v>22</v>
      </c>
    </row>
    <row customHeight="true" ht="19" r="103">
      <c r="A103" s="15">
        <v>102</v>
      </c>
      <c r="B103" s="55" t="str">
        <v>重庆</v>
      </c>
      <c r="C103" s="55" t="str">
        <v>35kV</v>
      </c>
      <c r="D103" s="30">
        <v>35.2</v>
      </c>
      <c r="E103" s="30">
        <v>22</v>
      </c>
    </row>
    <row r="104">
      <c r="A104" s="15">
        <v>103</v>
      </c>
      <c r="B104" s="55" t="str">
        <v>重庆</v>
      </c>
      <c r="C104" s="55" t="str">
        <v>110kV</v>
      </c>
      <c r="D104" s="30">
        <v>32</v>
      </c>
      <c r="E104" s="30">
        <v>20</v>
      </c>
    </row>
    <row r="105">
      <c r="A105" s="15">
        <v>104</v>
      </c>
      <c r="B105" s="55" t="str">
        <v>重庆</v>
      </c>
      <c r="C105" s="55" t="str">
        <v>220kV</v>
      </c>
      <c r="D105" s="30">
        <v>32</v>
      </c>
      <c r="E105" s="30">
        <v>20</v>
      </c>
    </row>
    <row r="106">
      <c r="A106" s="15">
        <v>105</v>
      </c>
      <c r="B106" s="20" t="str">
        <v>四川</v>
      </c>
      <c r="C106" s="20" t="str">
        <v>10kV</v>
      </c>
      <c r="D106" s="15">
        <v>35</v>
      </c>
      <c r="E106" s="15">
        <v>22</v>
      </c>
    </row>
    <row customHeight="true" ht="19" r="107">
      <c r="A107" s="15">
        <v>106</v>
      </c>
      <c r="B107" s="20" t="str">
        <v>四川</v>
      </c>
      <c r="C107" s="20" t="str">
        <v>35kV</v>
      </c>
      <c r="D107" s="15">
        <v>32</v>
      </c>
      <c r="E107" s="15">
        <v>20</v>
      </c>
    </row>
    <row r="108">
      <c r="A108" s="15">
        <v>107</v>
      </c>
      <c r="B108" s="20" t="str">
        <v>四川</v>
      </c>
      <c r="C108" s="20" t="str">
        <v>110kV</v>
      </c>
      <c r="D108" s="15">
        <v>27</v>
      </c>
      <c r="E108" s="15">
        <v>17</v>
      </c>
    </row>
    <row r="109">
      <c r="A109" s="15">
        <v>108</v>
      </c>
      <c r="B109" s="20" t="str">
        <v>四川</v>
      </c>
      <c r="C109" s="20" t="str">
        <v>220kV</v>
      </c>
      <c r="D109" s="15">
        <v>24</v>
      </c>
      <c r="E109" s="15">
        <v>15</v>
      </c>
    </row>
    <row r="110">
      <c r="A110" s="15">
        <v>109</v>
      </c>
      <c r="B110" s="55" t="str">
        <v>广东</v>
      </c>
      <c r="C110" s="55" t="str">
        <v>10kV</v>
      </c>
      <c r="D110" s="30">
        <v>36.1</v>
      </c>
      <c r="E110" s="30">
        <v>22.6</v>
      </c>
    </row>
    <row customHeight="true" ht="19" r="111">
      <c r="A111" s="15">
        <v>110</v>
      </c>
      <c r="B111" s="55" t="str">
        <v>广东</v>
      </c>
      <c r="C111" s="55" t="str">
        <v>35kV</v>
      </c>
      <c r="D111" s="30">
        <v>31</v>
      </c>
      <c r="E111" s="30">
        <v>19.4</v>
      </c>
    </row>
    <row r="112">
      <c r="A112" s="15">
        <v>111</v>
      </c>
      <c r="B112" s="55" t="str">
        <v>广东</v>
      </c>
      <c r="C112" s="55" t="str">
        <v>110kV</v>
      </c>
      <c r="D112" s="30">
        <v>31</v>
      </c>
      <c r="E112" s="30">
        <v>19.4</v>
      </c>
    </row>
    <row r="113">
      <c r="A113" s="15">
        <v>112</v>
      </c>
      <c r="B113" s="55" t="str">
        <v>广东</v>
      </c>
      <c r="C113" s="55" t="str">
        <v>220kV</v>
      </c>
      <c r="D113" s="30">
        <v>26.1</v>
      </c>
      <c r="E113" s="30">
        <v>16.3</v>
      </c>
    </row>
    <row r="114">
      <c r="A114" s="15">
        <v>113</v>
      </c>
      <c r="B114" s="20" t="str">
        <v>广西</v>
      </c>
      <c r="C114" s="20" t="str">
        <v>10kV</v>
      </c>
      <c r="D114" s="15">
        <v>38.7</v>
      </c>
      <c r="E114" s="15">
        <v>24.2</v>
      </c>
    </row>
    <row customHeight="true" ht="19" r="115">
      <c r="A115" s="15">
        <v>114</v>
      </c>
      <c r="B115" s="20" t="str">
        <v>广西</v>
      </c>
      <c r="C115" s="20" t="str">
        <v>35kV</v>
      </c>
      <c r="D115" s="15">
        <v>37.3</v>
      </c>
      <c r="E115" s="15">
        <v>23.3</v>
      </c>
    </row>
    <row r="116">
      <c r="A116" s="15">
        <v>115</v>
      </c>
      <c r="B116" s="20" t="str">
        <v>广西</v>
      </c>
      <c r="C116" s="20" t="str">
        <v>110kV</v>
      </c>
      <c r="D116" s="15">
        <v>34.2</v>
      </c>
      <c r="E116" s="15">
        <v>21.4</v>
      </c>
    </row>
    <row r="117">
      <c r="A117" s="15">
        <v>116</v>
      </c>
      <c r="B117" s="20" t="str">
        <v>广西</v>
      </c>
      <c r="C117" s="20" t="str">
        <v>220kV</v>
      </c>
      <c r="D117" s="15">
        <v>32</v>
      </c>
      <c r="E117" s="15">
        <v>20</v>
      </c>
    </row>
    <row r="118">
      <c r="A118" s="15">
        <v>117</v>
      </c>
      <c r="B118" s="55" t="str">
        <v>云南</v>
      </c>
      <c r="C118" s="55" t="str">
        <v>10kV</v>
      </c>
      <c r="D118" s="30">
        <v>38.4</v>
      </c>
      <c r="E118" s="30">
        <v>24</v>
      </c>
    </row>
    <row customHeight="true" ht="19" r="119">
      <c r="A119" s="15">
        <v>118</v>
      </c>
      <c r="B119" s="55" t="str">
        <v>云南</v>
      </c>
      <c r="C119" s="55" t="str">
        <v>35kV</v>
      </c>
      <c r="D119" s="30">
        <v>38.4</v>
      </c>
      <c r="E119" s="30">
        <v>24</v>
      </c>
    </row>
    <row r="120">
      <c r="A120" s="15">
        <v>119</v>
      </c>
      <c r="B120" s="55" t="str">
        <v>云南</v>
      </c>
      <c r="C120" s="55" t="str">
        <v>110kV</v>
      </c>
      <c r="D120" s="30">
        <v>36.8</v>
      </c>
      <c r="E120" s="30">
        <v>23</v>
      </c>
    </row>
    <row r="121">
      <c r="A121" s="15">
        <v>120</v>
      </c>
      <c r="B121" s="55" t="str">
        <v>云南</v>
      </c>
      <c r="C121" s="55" t="str">
        <v>220kV</v>
      </c>
      <c r="D121" s="30">
        <v>36.8</v>
      </c>
      <c r="E121" s="30">
        <v>23</v>
      </c>
    </row>
    <row r="122">
      <c r="A122" s="15">
        <v>121</v>
      </c>
      <c r="B122" s="20" t="str">
        <v>贵州</v>
      </c>
      <c r="C122" s="20" t="str">
        <v>10kV</v>
      </c>
      <c r="D122" s="15">
        <v>35</v>
      </c>
      <c r="E122" s="15">
        <v>22</v>
      </c>
    </row>
    <row customHeight="true" ht="19" r="123">
      <c r="A123" s="15"/>
      <c r="B123" s="20"/>
      <c r="C123" s="20"/>
      <c r="D123" s="15"/>
      <c r="E123" s="15"/>
    </row>
    <row r="124">
      <c r="A124" s="15">
        <v>92</v>
      </c>
      <c r="B124" s="20" t="str">
        <v>贵州</v>
      </c>
      <c r="C124" s="20" t="str">
        <v>110kV</v>
      </c>
      <c r="D124" s="15">
        <v>31</v>
      </c>
      <c r="E124" s="15">
        <v>20</v>
      </c>
    </row>
    <row r="125">
      <c r="A125" s="15">
        <v>93</v>
      </c>
      <c r="B125" s="20" t="str">
        <v>贵州</v>
      </c>
      <c r="C125" s="20" t="str">
        <v>220kV</v>
      </c>
      <c r="D125" s="15">
        <v>30</v>
      </c>
      <c r="E125" s="15">
        <v>19</v>
      </c>
    </row>
    <row r="126">
      <c r="A126" s="15">
        <v>94</v>
      </c>
      <c r="B126" s="55" t="str">
        <v>海南</v>
      </c>
      <c r="C126" s="55" t="str">
        <v>10kV</v>
      </c>
      <c r="D126" s="30">
        <v>35.2</v>
      </c>
      <c r="E126" s="30">
        <v>22</v>
      </c>
    </row>
    <row customHeight="true" ht="19" r="127">
      <c r="A127" s="15">
        <v>94</v>
      </c>
      <c r="B127" s="55" t="str">
        <v>海南</v>
      </c>
      <c r="C127" s="55" t="str">
        <v>35kV</v>
      </c>
      <c r="D127" s="30">
        <v>35.2</v>
      </c>
      <c r="E127" s="30">
        <v>22</v>
      </c>
    </row>
    <row r="128">
      <c r="A128" s="15">
        <v>95</v>
      </c>
      <c r="B128" s="55" t="str">
        <v>海南</v>
      </c>
      <c r="C128" s="55" t="str">
        <v>110kV</v>
      </c>
      <c r="D128" s="30">
        <v>35.2</v>
      </c>
      <c r="E128" s="30">
        <v>22</v>
      </c>
    </row>
    <row r="129">
      <c r="A129" s="15">
        <v>96</v>
      </c>
      <c r="B129" s="55" t="str">
        <v>海南</v>
      </c>
      <c r="C129" s="55" t="str">
        <v>220kV</v>
      </c>
      <c r="D129" s="30">
        <v>35.2</v>
      </c>
      <c r="E129" s="30">
        <v>22</v>
      </c>
    </row>
  </sheetData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0"/>
    <col collapsed="false" customWidth="true" hidden="false" max="3" min="3" style="0" width="26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5" min="15" style="0" width="13"/>
    <col collapsed="false" customWidth="true" hidden="false" max="16" min="16" style="0" width="13"/>
  </cols>
  <sheetData>
    <row customHeight="true" ht="19" r="1">
      <c r="A1" s="12" t="str">
        <v>序号</v>
      </c>
      <c r="B1" s="52" t="str">
        <v>省份</v>
      </c>
      <c r="C1" s="51" t="str">
        <v>2026年入市购电电价表</v>
      </c>
      <c r="D1" s="50" t="str">
        <v>1月</v>
      </c>
      <c r="E1" s="50" t="str">
        <v>2月</v>
      </c>
      <c r="F1" s="50" t="str">
        <v>3月</v>
      </c>
      <c r="G1" s="50" t="str">
        <v>4月</v>
      </c>
      <c r="H1" s="50" t="str">
        <v>5月</v>
      </c>
      <c r="I1" s="50" t="str">
        <v>6月</v>
      </c>
      <c r="J1" s="50" t="str">
        <v>7月</v>
      </c>
      <c r="K1" s="50" t="str">
        <v>8月</v>
      </c>
      <c r="L1" s="50" t="str">
        <v>9月</v>
      </c>
      <c r="M1" s="50" t="str">
        <v>10月</v>
      </c>
      <c r="N1" s="50" t="str">
        <v>11月</v>
      </c>
      <c r="O1" s="50" t="str">
        <v>12月</v>
      </c>
      <c r="P1" s="50" t="str">
        <v>年均</v>
      </c>
      <c r="Q1" s="50" t="str">
        <v>趋势图</v>
      </c>
    </row>
    <row r="2">
      <c r="A2" s="15">
        <v>1</v>
      </c>
      <c r="B2" s="20" t="str">
        <v>北京</v>
      </c>
      <c r="C2" s="58" t="str">
        <v>入市购电价格</v>
      </c>
      <c r="D2" s="15">
        <v>0.39</v>
      </c>
      <c r="E2" s="15">
        <f>D2</f>
      </c>
      <c r="F2" s="15">
        <f>E2</f>
      </c>
      <c r="G2" s="15">
        <f>F2</f>
      </c>
      <c r="H2" s="15">
        <f>G2</f>
      </c>
      <c r="I2" s="15">
        <f>H2</f>
      </c>
      <c r="J2" s="15">
        <f>I2</f>
      </c>
      <c r="K2" s="15">
        <f>J2</f>
      </c>
      <c r="L2" s="15">
        <f>K2</f>
      </c>
      <c r="M2" s="15">
        <f>L2</f>
      </c>
      <c r="N2" s="15">
        <f>M2</f>
      </c>
      <c r="O2" s="15">
        <f>N2</f>
      </c>
      <c r="P2" s="15">
        <f>IF(SUM(D2:O2)=0,"0",AVERAGEIF(D2:O2,"&lt;&gt;0",D2:O2))</f>
      </c>
      <c r="Q2" s="14"/>
    </row>
    <row r="3">
      <c r="A3" s="15">
        <v>2</v>
      </c>
      <c r="B3" s="20" t="str">
        <v>天津</v>
      </c>
      <c r="C3" s="58" t="str">
        <v>入市购电价格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f>IF(SUM(D3:O3)=0,"0",AVERAGEIF(D3:O3,"&lt;&gt;0",D3:O3))</f>
      </c>
      <c r="Q3" s="14"/>
    </row>
    <row r="4">
      <c r="A4" s="15">
        <v>3</v>
      </c>
      <c r="B4" s="20" t="str">
        <v>河北南网</v>
      </c>
      <c r="C4" s="58" t="str">
        <v>入市购电价格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f>IF(SUM(D4:O4)=0,"0",AVERAGEIF(D4:O4,"&lt;&gt;0",D4:O4))</f>
      </c>
      <c r="Q4" s="14"/>
    </row>
    <row r="5">
      <c r="A5" s="15">
        <v>4</v>
      </c>
      <c r="B5" s="20" t="str">
        <v>冀北</v>
      </c>
      <c r="C5" s="58" t="str">
        <v>入市购电价格</v>
      </c>
      <c r="D5" s="15">
        <v>0.385</v>
      </c>
      <c r="E5" s="15">
        <f>D5</f>
      </c>
      <c r="F5" s="15">
        <f>E5</f>
      </c>
      <c r="G5" s="15">
        <f>F5</f>
      </c>
      <c r="H5" s="15">
        <f>G5</f>
      </c>
      <c r="I5" s="15">
        <f>H5</f>
      </c>
      <c r="J5" s="15">
        <f>I5</f>
      </c>
      <c r="K5" s="15">
        <f>J5</f>
      </c>
      <c r="L5" s="15">
        <f>K5</f>
      </c>
      <c r="M5" s="15">
        <f>L5</f>
      </c>
      <c r="N5" s="15">
        <f>M5</f>
      </c>
      <c r="O5" s="15">
        <f>N5</f>
      </c>
      <c r="P5" s="15">
        <f>IF(SUM(D5:O5)=0,"0",AVERAGEIF(D5:O5,"&lt;&gt;0",D5:O5))</f>
      </c>
      <c r="Q5" s="14"/>
    </row>
    <row r="6">
      <c r="A6" s="15">
        <v>5</v>
      </c>
      <c r="B6" s="20" t="str">
        <v>山东</v>
      </c>
      <c r="C6" s="58" t="str">
        <v>入市购电价格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f>IF(SUM(D6:O6)=0,"0",AVERAGEIF(D6:O6,"&lt;&gt;0",D6:O6))</f>
      </c>
      <c r="Q6" s="14"/>
    </row>
    <row r="7">
      <c r="A7" s="15">
        <v>6</v>
      </c>
      <c r="B7" s="20" t="str">
        <v>山西</v>
      </c>
      <c r="C7" s="58" t="str">
        <v>入市购电价格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f>IF(SUM(D7:O7)=0,"0",AVERAGEIF(D7:O7,"&lt;&gt;0",D7:O7))</f>
      </c>
      <c r="Q7" s="14"/>
    </row>
    <row r="8">
      <c r="A8" s="15">
        <v>7</v>
      </c>
      <c r="B8" s="55" t="str">
        <v>蒙西</v>
      </c>
      <c r="C8" s="59" t="str">
        <v>入市购电价格</v>
      </c>
      <c r="D8" s="30">
        <v>0.281</v>
      </c>
      <c r="E8" s="30">
        <v>0.281</v>
      </c>
      <c r="F8" s="30">
        <v>0.281</v>
      </c>
      <c r="G8" s="30">
        <v>0.281</v>
      </c>
      <c r="H8" s="30">
        <v>0.281</v>
      </c>
      <c r="I8" s="30">
        <v>0.281</v>
      </c>
      <c r="J8" s="30">
        <v>0.281</v>
      </c>
      <c r="K8" s="30">
        <v>0.281</v>
      </c>
      <c r="L8" s="30">
        <v>0.281</v>
      </c>
      <c r="M8" s="30">
        <v>0.281</v>
      </c>
      <c r="N8" s="30">
        <v>0.281</v>
      </c>
      <c r="O8" s="30">
        <v>0.281</v>
      </c>
      <c r="P8" s="30">
        <f>IF(SUM(D8:O8)=0,"0",AVERAGEIF(D8:O8,"&lt;&gt;0",D8:O8))</f>
      </c>
      <c r="Q8" s="29"/>
    </row>
    <row r="9">
      <c r="A9" s="15">
        <v>8</v>
      </c>
      <c r="B9" s="20" t="str">
        <v>上海</v>
      </c>
      <c r="C9" s="58" t="str">
        <v>入市购电价格</v>
      </c>
      <c r="D9" s="15">
        <v>0.3937</v>
      </c>
      <c r="E9" s="15">
        <f>D9</f>
      </c>
      <c r="F9" s="15">
        <f>E9</f>
      </c>
      <c r="G9" s="15">
        <f>F9</f>
      </c>
      <c r="H9" s="15">
        <f>G9</f>
      </c>
      <c r="I9" s="15">
        <f>H9</f>
      </c>
      <c r="J9" s="15">
        <f>I9</f>
      </c>
      <c r="K9" s="15">
        <f>J9</f>
      </c>
      <c r="L9" s="15">
        <f>K9</f>
      </c>
      <c r="M9" s="15">
        <f>L9</f>
      </c>
      <c r="N9" s="15">
        <f>M9</f>
      </c>
      <c r="O9" s="15">
        <f>N9</f>
      </c>
      <c r="P9" s="15">
        <f>IF(SUM(D9:O9)=0,"0",AVERAGEIF(D9:O9,"&lt;&gt;0",D9:O9))</f>
      </c>
      <c r="Q9" s="14"/>
    </row>
    <row r="10">
      <c r="A10" s="15">
        <v>9</v>
      </c>
      <c r="B10" s="20" t="str">
        <v>江苏</v>
      </c>
      <c r="C10" s="58" t="str">
        <v>入市购电价格</v>
      </c>
      <c r="D10" s="15">
        <v>0.3349</v>
      </c>
      <c r="E10" s="15">
        <f>D10</f>
      </c>
      <c r="F10" s="15">
        <f>E10</f>
      </c>
      <c r="G10" s="15">
        <f>F10</f>
      </c>
      <c r="H10" s="15">
        <f>G10</f>
      </c>
      <c r="I10" s="15">
        <f>H10</f>
      </c>
      <c r="J10" s="15">
        <f>I10</f>
      </c>
      <c r="K10" s="15">
        <f>J10</f>
      </c>
      <c r="L10" s="15">
        <f>K10</f>
      </c>
      <c r="M10" s="15">
        <f>L10</f>
      </c>
      <c r="N10" s="15">
        <f>M10</f>
      </c>
      <c r="O10" s="15">
        <f>N10</f>
      </c>
      <c r="P10" s="15">
        <f>IF(SUM(D10:O10)=0,"0",AVERAGEIF(D10:O10,"&lt;&gt;0",D10:O10))</f>
      </c>
      <c r="Q10" s="14"/>
    </row>
    <row r="11">
      <c r="A11" s="15">
        <v>10</v>
      </c>
      <c r="B11" s="20" t="str">
        <v>浙江</v>
      </c>
      <c r="C11" s="58" t="str">
        <v>入市购电价格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f>IF(SUM(D11:O11)=0,"0",AVERAGEIF(D11:O11,"&lt;&gt;0",D11:O11))</f>
      </c>
      <c r="Q11" s="14"/>
    </row>
    <row r="12">
      <c r="A12" s="15">
        <v>11</v>
      </c>
      <c r="B12" s="20" t="str">
        <v>安徽</v>
      </c>
      <c r="C12" s="58" t="str">
        <v>入市购电价格</v>
      </c>
      <c r="D12" s="15">
        <v>0.3858</v>
      </c>
      <c r="E12" s="15">
        <f>D12</f>
      </c>
      <c r="F12" s="15">
        <f>E12</f>
      </c>
      <c r="G12" s="15">
        <f>F12</f>
      </c>
      <c r="H12" s="15">
        <f>G12</f>
      </c>
      <c r="I12" s="15">
        <f>H12</f>
      </c>
      <c r="J12" s="15">
        <f>I12</f>
      </c>
      <c r="K12" s="15">
        <f>J12</f>
      </c>
      <c r="L12" s="15">
        <f>K12</f>
      </c>
      <c r="M12" s="15">
        <f>L12</f>
      </c>
      <c r="N12" s="15">
        <f>M12</f>
      </c>
      <c r="O12" s="15">
        <f>N12</f>
      </c>
      <c r="P12" s="15">
        <f>IF(SUM(D12:O12)=0,"0",AVERAGEIF(D12:O12,"&lt;&gt;0",D12:O12))</f>
      </c>
      <c r="Q12" s="14"/>
    </row>
    <row r="13">
      <c r="A13" s="15">
        <v>12</v>
      </c>
      <c r="B13" s="20" t="str">
        <v>福建</v>
      </c>
      <c r="C13" s="58" t="str">
        <v>入市购电价格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f>IF(SUM(D13:O13)=0,"0",AVERAGEIF(D13:O13,"&lt;&gt;0",D13:O13))</f>
      </c>
      <c r="Q13" s="14"/>
    </row>
    <row r="14">
      <c r="A14" s="15">
        <v>13</v>
      </c>
      <c r="B14" s="55" t="str">
        <v>湖北</v>
      </c>
      <c r="C14" s="59" t="str">
        <v>入市购电价格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>
        <f>IF(SUM(D14:O14)=0,"0",AVERAGEIF(D14:O14,"&lt;&gt;0",D14:O14))</f>
      </c>
      <c r="Q14" s="29"/>
    </row>
    <row r="15">
      <c r="A15" s="15">
        <v>14</v>
      </c>
      <c r="B15" s="55" t="str">
        <v>河南</v>
      </c>
      <c r="C15" s="59" t="str">
        <v>入市购电价格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>
        <f>IF(SUM(D15:O15)=0,"0",AVERAGEIF(D15:O15,"&lt;&gt;0",D15:O15))</f>
      </c>
      <c r="Q15" s="29"/>
    </row>
    <row r="16">
      <c r="A16" s="15">
        <v>15</v>
      </c>
      <c r="B16" s="55" t="str">
        <v>湖南</v>
      </c>
      <c r="C16" s="59" t="str">
        <v>入市购电价格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>
        <f>IF(SUM(D16:O16)=0,"0",AVERAGEIF(D16:O16,"&lt;&gt;0",D16:O16))</f>
      </c>
      <c r="Q16" s="29"/>
    </row>
    <row r="17">
      <c r="A17" s="15">
        <v>16</v>
      </c>
      <c r="B17" s="55" t="str">
        <v>江西</v>
      </c>
      <c r="C17" s="59" t="str">
        <v>入市购电价格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>
        <f>IF(SUM(D17:O17)=0,"0",AVERAGEIF(D17:O17,"&lt;&gt;0",D17:O17))</f>
      </c>
      <c r="Q17" s="29"/>
    </row>
    <row r="18">
      <c r="A18" s="15">
        <v>17</v>
      </c>
      <c r="B18" s="20" t="str">
        <v>辽宁</v>
      </c>
      <c r="C18" s="58" t="str">
        <v>入市购电价格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f>IF(SUM(D18:O18)=0,"0",AVERAGEIF(D18:O18,"&lt;&gt;0",D18:O18))</f>
      </c>
      <c r="Q18" s="14"/>
    </row>
    <row r="19">
      <c r="A19" s="15">
        <v>18</v>
      </c>
      <c r="B19" s="20" t="str">
        <v>吉林</v>
      </c>
      <c r="C19" s="58" t="str">
        <v>入市购电价格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f>IF(SUM(D19:O19)=0,"0",AVERAGEIF(D19:O19,"&lt;&gt;0",D19:O19))</f>
      </c>
      <c r="Q19" s="14"/>
    </row>
    <row r="20">
      <c r="A20" s="15">
        <v>19</v>
      </c>
      <c r="B20" s="20" t="str">
        <v>黑龙江</v>
      </c>
      <c r="C20" s="58" t="str">
        <v>入市购电价格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f>IF(SUM(D20:O20)=0,"0",AVERAGEIF(D20:O20,"&lt;&gt;0",D20:O20))</f>
      </c>
      <c r="Q20" s="14"/>
    </row>
    <row r="21">
      <c r="A21" s="15">
        <v>20</v>
      </c>
      <c r="B21" s="20" t="str">
        <v>蒙东</v>
      </c>
      <c r="C21" s="58" t="str">
        <v>入市购电价格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f>IF(SUM(D21:O21)=0,"0",AVERAGEIF(D21:O21,"&lt;&gt;0",D21:O21))</f>
      </c>
      <c r="Q21" s="14"/>
    </row>
    <row r="22">
      <c r="A22" s="15">
        <v>21</v>
      </c>
      <c r="B22" s="55" t="str">
        <v>陕西</v>
      </c>
      <c r="C22" s="59" t="str">
        <v>入市购电价格</v>
      </c>
      <c r="D22" s="30">
        <v>0.37</v>
      </c>
      <c r="E22" s="30">
        <v>0.37</v>
      </c>
      <c r="F22" s="30">
        <v>0.37</v>
      </c>
      <c r="G22" s="30">
        <v>0.37</v>
      </c>
      <c r="H22" s="30">
        <v>0.37</v>
      </c>
      <c r="I22" s="30">
        <v>0.37</v>
      </c>
      <c r="J22" s="30">
        <v>0.37</v>
      </c>
      <c r="K22" s="30">
        <v>0.37</v>
      </c>
      <c r="L22" s="30">
        <v>0.37</v>
      </c>
      <c r="M22" s="30">
        <v>0.37</v>
      </c>
      <c r="N22" s="30">
        <v>0.37</v>
      </c>
      <c r="O22" s="30">
        <v>0.37</v>
      </c>
      <c r="P22" s="30">
        <f>IF(SUM(D22:O22)=0,"0",AVERAGEIF(D22:O22,"&lt;&gt;0",D22:O22))</f>
      </c>
      <c r="Q22" s="29"/>
    </row>
    <row r="23">
      <c r="A23" s="15">
        <v>22</v>
      </c>
      <c r="B23" s="55" t="str">
        <v>甘肃</v>
      </c>
      <c r="C23" s="59" t="str">
        <v>入市购电价格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>
        <f>IF(SUM(D23:O23)=0,"0",AVERAGEIF(D23:O23,"&lt;&gt;0",D23:O23))</f>
      </c>
      <c r="Q23" s="29"/>
    </row>
    <row r="24">
      <c r="A24" s="15">
        <v>23</v>
      </c>
      <c r="B24" s="55" t="str">
        <v>青海</v>
      </c>
      <c r="C24" s="59" t="str">
        <v>入市购电价格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>
        <f>IF(SUM(D24:O24)=0,"0",AVERAGEIF(D24:O24,"&lt;&gt;0",D24:O24))</f>
      </c>
      <c r="Q24" s="29"/>
    </row>
    <row r="25">
      <c r="A25" s="15">
        <v>24</v>
      </c>
      <c r="B25" s="55" t="str">
        <v>宁夏</v>
      </c>
      <c r="C25" s="59" t="str">
        <v>入市购电价格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>
        <f>IF(SUM(D25:O25)=0,"0",AVERAGEIF(D25:O25,"&lt;&gt;0",D25:O25))</f>
      </c>
      <c r="Q25" s="29"/>
    </row>
    <row r="26">
      <c r="A26" s="15">
        <v>25</v>
      </c>
      <c r="B26" s="55" t="str">
        <v>新疆</v>
      </c>
      <c r="C26" s="59" t="str">
        <v>入市购电价格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>
        <f>IF(SUM(D26:O26)=0,"0",AVERAGEIF(D26:O26,"&lt;&gt;0",D26:O26))</f>
      </c>
      <c r="Q26" s="29"/>
    </row>
    <row r="27">
      <c r="A27" s="15">
        <v>26</v>
      </c>
      <c r="B27" s="20" t="str">
        <v>重庆</v>
      </c>
      <c r="C27" s="58" t="str">
        <v>入市购电价格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f>IF(SUM(D27:O27)=0,"0",AVERAGEIF(D27:O27,"&lt;&gt;0",D27:O27))</f>
      </c>
      <c r="Q27" s="14"/>
    </row>
    <row r="28">
      <c r="A28" s="15">
        <v>27</v>
      </c>
      <c r="B28" s="20" t="str">
        <v>四川</v>
      </c>
      <c r="C28" s="58" t="str">
        <v>入市购电价格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f>IF(SUM(D28:O28)=0,"0",AVERAGEIF(D28:O28,"&lt;&gt;0",D28:O28))</f>
      </c>
      <c r="Q28" s="14"/>
    </row>
    <row r="29">
      <c r="A29" s="15">
        <v>28</v>
      </c>
      <c r="B29" s="55" t="str">
        <v>广东</v>
      </c>
      <c r="C29" s="59" t="str">
        <v>入市购电价格</v>
      </c>
      <c r="D29" s="30">
        <v>0.372</v>
      </c>
      <c r="E29" s="30">
        <v>0.372</v>
      </c>
      <c r="F29" s="30">
        <v>0.372</v>
      </c>
      <c r="G29" s="30">
        <v>0.372</v>
      </c>
      <c r="H29" s="30">
        <v>0.372</v>
      </c>
      <c r="I29" s="30">
        <v>0.372</v>
      </c>
      <c r="J29" s="30">
        <v>0.372</v>
      </c>
      <c r="K29" s="30">
        <v>0.372</v>
      </c>
      <c r="L29" s="30">
        <v>0.372</v>
      </c>
      <c r="M29" s="30">
        <v>0.372</v>
      </c>
      <c r="N29" s="30">
        <v>0.372</v>
      </c>
      <c r="O29" s="30">
        <v>0.372</v>
      </c>
      <c r="P29" s="30">
        <f>IF(SUM(D29:O29)=0,"0",AVERAGEIF(D29:O29,"&lt;&gt;0",D29:O29))</f>
      </c>
      <c r="Q29" s="29"/>
    </row>
    <row r="30">
      <c r="A30" s="15">
        <v>29</v>
      </c>
      <c r="B30" s="55" t="str">
        <v>广西</v>
      </c>
      <c r="C30" s="59" t="str">
        <v>入市购电价格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>
        <f>IF(SUM(D30:O30)=0,"0",AVERAGEIF(D30:O30,"&lt;&gt;0",D30:O30))</f>
      </c>
      <c r="Q30" s="29"/>
    </row>
    <row r="31">
      <c r="A31" s="15">
        <v>30</v>
      </c>
      <c r="B31" s="55" t="str">
        <v>云南</v>
      </c>
      <c r="C31" s="59" t="str">
        <v>入市购电价格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>
        <f>IF(SUM(D31:O31)=0,"0",AVERAGEIF(D31:O31,"&lt;&gt;0",D31:O31))</f>
      </c>
      <c r="Q31" s="29"/>
    </row>
    <row r="32">
      <c r="A32" s="15">
        <v>31</v>
      </c>
      <c r="B32" s="55" t="str">
        <v>贵州</v>
      </c>
      <c r="C32" s="59" t="str">
        <v>入市购电价格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>
        <f>IF(SUM(D32:O32)=0,"0",AVERAGEIF(D32:O32,"&lt;&gt;0",D32:O32))</f>
      </c>
      <c r="Q32" s="29"/>
    </row>
    <row r="33">
      <c r="A33" s="15">
        <v>32</v>
      </c>
      <c r="B33" s="55" t="str">
        <v>海南</v>
      </c>
      <c r="C33" s="59" t="str">
        <v>入市购电价格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>
        <f>IF(SUM(D33:O33)=0,"0",AVERAGEIF(D33:O33,"&lt;&gt;0",D33:O33))</f>
      </c>
      <c r="Q33" s="29"/>
    </row>
  </sheetData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0"/>
    <col collapsed="false" customWidth="true" hidden="false" max="3" min="3" style="0" width="26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5" min="15" style="0" width="13"/>
    <col collapsed="false" customWidth="true" hidden="false" max="16" min="16" style="0" width="13"/>
  </cols>
  <sheetData>
    <row customHeight="true" ht="19" r="1">
      <c r="A1" s="47"/>
      <c r="B1" s="49" t="str">
        <v>电压等级</v>
      </c>
      <c r="C1" s="47">
        <f>'首页+选择功能'!B4</f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 t="str">
        <v>单一制10kV</v>
      </c>
    </row>
    <row customHeight="true" ht="19" r="2">
      <c r="A2" s="50" t="str">
        <v>序号</v>
      </c>
      <c r="B2" s="50" t="str">
        <v>省份</v>
      </c>
      <c r="C2" s="11" t="str">
        <v>2025年电价表</v>
      </c>
      <c r="D2" s="50" t="str">
        <v>1月</v>
      </c>
      <c r="E2" s="50" t="str">
        <v>2月</v>
      </c>
      <c r="F2" s="50" t="str">
        <v>3月</v>
      </c>
      <c r="G2" s="50" t="str">
        <v>4月</v>
      </c>
      <c r="H2" s="50" t="str">
        <v>5月</v>
      </c>
      <c r="I2" s="50" t="str">
        <v>6月</v>
      </c>
      <c r="J2" s="50" t="str">
        <v>7月</v>
      </c>
      <c r="K2" s="50" t="str">
        <v>8月</v>
      </c>
      <c r="L2" s="50" t="str">
        <v>9月</v>
      </c>
      <c r="M2" s="50" t="str">
        <v>10月</v>
      </c>
      <c r="N2" s="50" t="str">
        <v>11月</v>
      </c>
      <c r="O2" s="50" t="str">
        <v>12月</v>
      </c>
      <c r="P2" s="50" t="str">
        <v>年均</v>
      </c>
      <c r="Q2" s="50" t="str">
        <v>趋势图</v>
      </c>
    </row>
    <row r="3">
      <c r="A3" s="34">
        <v>1</v>
      </c>
      <c r="B3" s="40" t="str">
        <v>北京</v>
      </c>
      <c r="C3" s="39" t="str">
        <v>代理购电价格</v>
      </c>
      <c r="D3" s="34">
        <f>'分表8-2025三类细分价'!D2</f>
      </c>
      <c r="E3" s="34">
        <f>'分表8-2025三类细分价'!E2</f>
      </c>
      <c r="F3" s="34">
        <f>'分表8-2025三类细分价'!F2</f>
      </c>
      <c r="G3" s="34">
        <f>'分表8-2025三类细分价'!G2</f>
      </c>
      <c r="H3" s="34">
        <f>'分表8-2025三类细分价'!H2</f>
      </c>
      <c r="I3" s="34">
        <f>'分表8-2025三类细分价'!I2</f>
      </c>
      <c r="J3" s="34">
        <f>'分表8-2025三类细分价'!J2</f>
      </c>
      <c r="K3" s="34">
        <f>'分表8-2025三类细分价'!K2</f>
      </c>
      <c r="L3" s="34">
        <f>'分表8-2025三类细分价'!L2</f>
      </c>
      <c r="M3" s="34">
        <f>'分表8-2025三类细分价'!M2</f>
      </c>
      <c r="N3" s="34">
        <f>'分表8-2025三类细分价'!N2</f>
      </c>
      <c r="O3" s="34">
        <f>'分表8-2025三类细分价'!O2</f>
      </c>
      <c r="P3" s="34">
        <f>IF(SUM(D3:O3)=0,"0",AVERAGEIF(D3:O3,"&lt;&gt;0",D3:O3))</f>
      </c>
      <c r="Q3" s="38"/>
    </row>
    <row r="4">
      <c r="A4" s="34">
        <v>2</v>
      </c>
      <c r="B4" s="40" t="str">
        <v>北京</v>
      </c>
      <c r="C4" s="39" t="str">
        <v>上网环节线损电价</v>
      </c>
      <c r="D4" s="34">
        <f>'分表8-2025三类细分价'!D5</f>
      </c>
      <c r="E4" s="34">
        <f>'分表8-2025三类细分价'!E5</f>
      </c>
      <c r="F4" s="34">
        <f>'分表8-2025三类细分价'!F5</f>
      </c>
      <c r="G4" s="34">
        <f>'分表8-2025三类细分价'!G5</f>
      </c>
      <c r="H4" s="34">
        <f>'分表8-2025三类细分价'!H5</f>
      </c>
      <c r="I4" s="34">
        <f>'分表8-2025三类细分价'!I5</f>
      </c>
      <c r="J4" s="34">
        <f>'分表8-2025三类细分价'!J5</f>
      </c>
      <c r="K4" s="34">
        <f>'分表8-2025三类细分价'!K5</f>
      </c>
      <c r="L4" s="34">
        <f>'分表8-2025三类细分价'!L5</f>
      </c>
      <c r="M4" s="34">
        <f>'分表8-2025三类细分价'!M5</f>
      </c>
      <c r="N4" s="34">
        <f>'分表8-2025三类细分价'!N5</f>
      </c>
      <c r="O4" s="34">
        <f>'分表8-2025三类细分价'!O5</f>
      </c>
      <c r="P4" s="34">
        <f>IF(SUM(D4:O4)=0,"0",AVERAGEIF(D4:O4,"&lt;&gt;0",D4:O4))</f>
      </c>
      <c r="Q4" s="38"/>
    </row>
    <row customHeight="true" ht="19" r="5">
      <c r="A5" s="34">
        <v>3</v>
      </c>
      <c r="B5" s="40" t="str">
        <v>北京</v>
      </c>
      <c r="C5" s="39" t="str">
        <v>电度输配电价</v>
      </c>
      <c r="D5" s="34" cm="1">
        <f t="array" ref="D5:D5">_xlfn.XLOOKUP($C$1,'分表4-电度输配电价'!$C2：'分表4-电度输配电价'!$C9&amp;'分表4-电度输配电价'!$D2：'分表4-电度输配电价'!$D9,'分表4-电度输配电价'!$E2：'分表4-电度输配电价'!$E9)</f>
      </c>
      <c r="E5" s="34" cm="1">
        <f t="array" ref="E5:E5">_xlfn.XLOOKUP($C$1,'分表4-电度输配电价'!$C2：'分表4-电度输配电价'!$C9&amp;'分表4-电度输配电价'!$D2：'分表4-电度输配电价'!$D9,'分表4-电度输配电价'!$E2：'分表4-电度输配电价'!$E9)</f>
      </c>
      <c r="F5" s="34" cm="1">
        <f t="array" ref="F5:F5">_xlfn.XLOOKUP($C$1,'分表4-电度输配电价'!$C2：'分表4-电度输配电价'!$C9&amp;'分表4-电度输配电价'!$D2：'分表4-电度输配电价'!$D9,'分表4-电度输配电价'!$E2：'分表4-电度输配电价'!$E9)</f>
      </c>
      <c r="G5" s="34" cm="1">
        <f t="array" ref="G5:G5">_xlfn.XLOOKUP($C$1,'分表4-电度输配电价'!$C2：'分表4-电度输配电价'!$C9&amp;'分表4-电度输配电价'!$D2：'分表4-电度输配电价'!$D9,'分表4-电度输配电价'!$E2：'分表4-电度输配电价'!$E9)</f>
      </c>
      <c r="H5" s="34" cm="1">
        <f t="array" ref="H5:H5">_xlfn.XLOOKUP($C$1,'分表4-电度输配电价'!$C2：'分表4-电度输配电价'!$C9&amp;'分表4-电度输配电价'!$D2：'分表4-电度输配电价'!$D9,'分表4-电度输配电价'!$E2：'分表4-电度输配电价'!$E9)</f>
      </c>
      <c r="I5" s="34" cm="1">
        <f t="array" ref="I5:I5">_xlfn.XLOOKUP($C$1,'分表4-电度输配电价'!$C2：'分表4-电度输配电价'!$C9&amp;'分表4-电度输配电价'!$D2：'分表4-电度输配电价'!$D9,'分表4-电度输配电价'!$E2：'分表4-电度输配电价'!$E9)</f>
      </c>
      <c r="J5" s="34" cm="1">
        <f t="array" ref="J5:J5">_xlfn.XLOOKUP($C$1,'分表4-电度输配电价'!$C2：'分表4-电度输配电价'!$C9&amp;'分表4-电度输配电价'!$D2：'分表4-电度输配电价'!$D9,'分表4-电度输配电价'!$E2：'分表4-电度输配电价'!$E9)</f>
      </c>
      <c r="K5" s="34" cm="1">
        <f t="array" ref="K5:K5">_xlfn.XLOOKUP($C$1,'分表4-电度输配电价'!$C2：'分表4-电度输配电价'!$C9&amp;'分表4-电度输配电价'!$D2：'分表4-电度输配电价'!$D9,'分表4-电度输配电价'!$E2：'分表4-电度输配电价'!$E9)</f>
      </c>
      <c r="L5" s="34" cm="1">
        <f t="array" ref="L5:L5">_xlfn.XLOOKUP($C$1,'分表4-电度输配电价'!$C2：'分表4-电度输配电价'!$C9&amp;'分表4-电度输配电价'!$D2：'分表4-电度输配电价'!$D9,'分表4-电度输配电价'!$E2：'分表4-电度输配电价'!$E9)</f>
      </c>
      <c r="M5" s="34" cm="1">
        <f t="array" ref="M5:M5">_xlfn.XLOOKUP($C$1,'分表4-电度输配电价'!$C2：'分表4-电度输配电价'!$C9&amp;'分表4-电度输配电价'!$D2：'分表4-电度输配电价'!$D9,'分表4-电度输配电价'!$E2：'分表4-电度输配电价'!$E9)</f>
      </c>
      <c r="N5" s="34" cm="1">
        <f t="array" ref="N5:N5">_xlfn.XLOOKUP($C$1,'分表4-电度输配电价'!$C2：'分表4-电度输配电价'!$C9&amp;'分表4-电度输配电价'!$D2：'分表4-电度输配电价'!$D9,'分表4-电度输配电价'!$E2：'分表4-电度输配电价'!$E9)</f>
      </c>
      <c r="O5" s="34" cm="1">
        <f t="array" ref="O5:O5">_xlfn.XLOOKUP($C$1,'分表4-电度输配电价'!$C2：'分表4-电度输配电价'!$C9&amp;'分表4-电度输配电价'!$D2：'分表4-电度输配电价'!$D9,'分表4-电度输配电价'!$E2：'分表4-电度输配电价'!$E9)</f>
      </c>
      <c r="P5" s="34">
        <f>IF(SUM(D5:O5)=0,"0",AVERAGEIF(D5:O5,"&lt;&gt;0",D5:O5))</f>
      </c>
      <c r="Q5" s="38"/>
    </row>
    <row customHeight="true" ht="19" r="6">
      <c r="A6" s="34">
        <v>4</v>
      </c>
      <c r="B6" s="40" t="str">
        <v>北京</v>
      </c>
      <c r="C6" s="39" t="str">
        <v>政府性基金及附加</v>
      </c>
      <c r="D6" s="34" cm="1">
        <f t="array" ref="D6:D6">_xlfn.XLOOKUP($B$6,'分表5-政府性基金及附加'!$B$2：'分表5-政府性基金及附加'!$B$199,'分表5-政府性基金及附加'!$D$2：'分表5-政府性基金及附加'!$D$199)</f>
      </c>
      <c r="E6" s="34" cm="1">
        <f t="array" ref="E6:E6">_xlfn.XLOOKUP($B$6,'分表5-政府性基金及附加'!$B$2：'分表5-政府性基金及附加'!$B$199,'分表5-政府性基金及附加'!$D$2：'分表5-政府性基金及附加'!$D$199)</f>
      </c>
      <c r="F6" s="34" cm="1">
        <f t="array" ref="F6:F6">_xlfn.XLOOKUP($B$6,'分表5-政府性基金及附加'!$B$2：'分表5-政府性基金及附加'!$B$199,'分表5-政府性基金及附加'!$D$2：'分表5-政府性基金及附加'!$D$199)</f>
      </c>
      <c r="G6" s="34" cm="1">
        <f t="array" ref="G6:G6">_xlfn.XLOOKUP($B$6,'分表5-政府性基金及附加'!$B$2：'分表5-政府性基金及附加'!$B$199,'分表5-政府性基金及附加'!$D$2：'分表5-政府性基金及附加'!$D$199)</f>
      </c>
      <c r="H6" s="34" cm="1">
        <f t="array" ref="H6:H6">_xlfn.XLOOKUP($B$6,'分表5-政府性基金及附加'!$B$2：'分表5-政府性基金及附加'!$B$199,'分表5-政府性基金及附加'!$D$2：'分表5-政府性基金及附加'!$D$199)</f>
      </c>
      <c r="I6" s="34" cm="1">
        <f t="array" ref="I6:I6">_xlfn.XLOOKUP($B$6,'分表5-政府性基金及附加'!$B$2：'分表5-政府性基金及附加'!$B$199,'分表5-政府性基金及附加'!$D$2：'分表5-政府性基金及附加'!$D$199)</f>
      </c>
      <c r="J6" s="34" cm="1">
        <f t="array" ref="J6:J6">_xlfn.XLOOKUP($B$6,'分表5-政府性基金及附加'!$B$2：'分表5-政府性基金及附加'!$B$199,'分表5-政府性基金及附加'!$D$2：'分表5-政府性基金及附加'!$D$199)</f>
      </c>
      <c r="K6" s="34" cm="1">
        <f t="array" ref="K6:K6">_xlfn.XLOOKUP($B$6,'分表5-政府性基金及附加'!$B$2：'分表5-政府性基金及附加'!$B$199,'分表5-政府性基金及附加'!$D$2：'分表5-政府性基金及附加'!$D$199)</f>
      </c>
      <c r="L6" s="34" cm="1">
        <f t="array" ref="L6:L6">_xlfn.XLOOKUP($B$6,'分表5-政府性基金及附加'!$B$2：'分表5-政府性基金及附加'!$B$199,'分表5-政府性基金及附加'!$D$2：'分表5-政府性基金及附加'!$D$199)</f>
      </c>
      <c r="M6" s="34" cm="1">
        <f t="array" ref="M6:M6">_xlfn.XLOOKUP($B$6,'分表5-政府性基金及附加'!$B$2：'分表5-政府性基金及附加'!$B$199,'分表5-政府性基金及附加'!$D$2：'分表5-政府性基金及附加'!$D$199)</f>
      </c>
      <c r="N6" s="34" cm="1">
        <f t="array" ref="N6:N6">_xlfn.XLOOKUP($B$6,'分表5-政府性基金及附加'!$B$2：'分表5-政府性基金及附加'!$B$199,'分表5-政府性基金及附加'!$D$2：'分表5-政府性基金及附加'!$D$199)</f>
      </c>
      <c r="O6" s="34" cm="1">
        <f t="array" ref="O6:O6">_xlfn.XLOOKUP($B$6,'分表5-政府性基金及附加'!$B$2：'分表5-政府性基金及附加'!$B$199,'分表5-政府性基金及附加'!$D$2：'分表5-政府性基金及附加'!$D$199)</f>
      </c>
      <c r="P6" s="34">
        <f>IF(SUM(D6:O6)=0,"0",AVERAGEIF(D6:O6,"&lt;&gt;0",D6:O6))</f>
      </c>
      <c r="Q6" s="38"/>
    </row>
    <row customHeight="true" ht="19" r="7">
      <c r="A7" s="34">
        <v>5</v>
      </c>
      <c r="B7" s="40" t="str">
        <v>北京</v>
      </c>
      <c r="C7" s="39" t="str">
        <v>系统运行费折价</v>
      </c>
      <c r="D7" s="34">
        <f>'分表8-2025三类细分价'!D6</f>
      </c>
      <c r="E7" s="34">
        <f>'分表8-2025三类细分价'!E6</f>
      </c>
      <c r="F7" s="34">
        <f>'分表8-2025三类细分价'!F6</f>
      </c>
      <c r="G7" s="34">
        <f>'分表8-2025三类细分价'!G6</f>
      </c>
      <c r="H7" s="34">
        <f>'分表8-2025三类细分价'!H6</f>
      </c>
      <c r="I7" s="34">
        <f>'分表8-2025三类细分价'!I6</f>
      </c>
      <c r="J7" s="34">
        <f>'分表8-2025三类细分价'!J6</f>
      </c>
      <c r="K7" s="34">
        <f>'分表8-2025三类细分价'!K6</f>
      </c>
      <c r="L7" s="34">
        <f>'分表8-2025三类细分价'!L6</f>
      </c>
      <c r="M7" s="34">
        <f>'分表8-2025三类细分价'!M6</f>
      </c>
      <c r="N7" s="34">
        <f>'分表8-2025三类细分价'!N6</f>
      </c>
      <c r="O7" s="34">
        <f>'分表8-2025三类细分价'!O6</f>
      </c>
      <c r="P7" s="34">
        <f>IF(SUM(D7:O7)=0,"0",AVERAGEIF(D7:O7,"&lt;&gt;0",D7:O7))</f>
      </c>
      <c r="Q7" s="38"/>
    </row>
    <row customHeight="true" ht="19" r="8">
      <c r="A8" s="34">
        <v>6</v>
      </c>
      <c r="B8" s="40" t="str">
        <v>北京</v>
      </c>
      <c r="C8" s="39" t="str">
        <v>综合平段电价--电网代购</v>
      </c>
      <c r="D8" s="34">
        <f>IF(D5="/","/",SUM(D3:D7))</f>
      </c>
      <c r="E8" s="34">
        <f>IF(E5="/","/",SUM(E3:E7))</f>
      </c>
      <c r="F8" s="34">
        <f>IF(F5="/","/",SUM(F3:F7))</f>
      </c>
      <c r="G8" s="34">
        <f>IF(G5="/","/",SUM(G3:G7))</f>
      </c>
      <c r="H8" s="34">
        <f>IF(H5="/","/",SUM(H3:H7))</f>
      </c>
      <c r="I8" s="34">
        <f>IF(I5="/","/",SUM(I3:I7))</f>
      </c>
      <c r="J8" s="34">
        <f>IF(J5="/","/",SUM(J3:J7))</f>
      </c>
      <c r="K8" s="34">
        <f>IF(K5="/","/",SUM(K3:K7))</f>
      </c>
      <c r="L8" s="34">
        <f>IF(L5="/","/",SUM(L3:L7))</f>
      </c>
      <c r="M8" s="34">
        <f>IF(M5="/","/",SUM(M3:M7))</f>
      </c>
      <c r="N8" s="34">
        <f>IF(N5="/","/",SUM(N3:N7))</f>
      </c>
      <c r="O8" s="34">
        <f>IF(O5="/","/",SUM(O3:O7))</f>
      </c>
      <c r="P8" s="34">
        <f>IF(SUM(D8:O8)=0,"0",AVERAGEIF(D8:O8,"&lt;&gt;0",D8:O8))</f>
      </c>
      <c r="Q8" s="38"/>
    </row>
    <row customHeight="true" ht="19" r="9">
      <c r="A9" s="34">
        <v>7</v>
      </c>
      <c r="B9" s="40" t="str">
        <v>北京</v>
      </c>
      <c r="C9" s="39" t="str">
        <v>入市交易购电价格</v>
      </c>
      <c r="D9" s="34">
        <f>'分表9-2025交易价格'!D2</f>
      </c>
      <c r="E9" s="34">
        <f>'分表9-2025交易价格'!E2</f>
      </c>
      <c r="F9" s="34">
        <f>'分表9-2025交易价格'!F2</f>
      </c>
      <c r="G9" s="34">
        <f>'分表9-2025交易价格'!G2</f>
      </c>
      <c r="H9" s="34">
        <f>'分表9-2025交易价格'!H2</f>
      </c>
      <c r="I9" s="34">
        <f>'分表9-2025交易价格'!I2</f>
      </c>
      <c r="J9" s="34">
        <f>'分表9-2025交易价格'!J2</f>
      </c>
      <c r="K9" s="34">
        <f>'分表9-2025交易价格'!K2</f>
      </c>
      <c r="L9" s="34">
        <f>'分表9-2025交易价格'!L2</f>
      </c>
      <c r="M9" s="34">
        <f>'分表9-2025交易价格'!M2</f>
      </c>
      <c r="N9" s="34">
        <f>'分表9-2025交易价格'!N2</f>
      </c>
      <c r="O9" s="34">
        <f>'分表9-2025交易价格'!O2</f>
      </c>
      <c r="P9" s="34">
        <f>IF(SUM(D9:O9)=0,"0",AVERAGEIF(D9:O9,"&lt;&gt;0",D9:O9))</f>
      </c>
      <c r="Q9" s="38"/>
    </row>
    <row customHeight="true" ht="19" r="10">
      <c r="A10" s="34">
        <v>8</v>
      </c>
      <c r="B10" s="40" t="str">
        <v>北京</v>
      </c>
      <c r="C10" s="39" t="str">
        <v>综合平段电价--入市交易</v>
      </c>
      <c r="D10" s="34">
        <f>IF(D5="/","/",IF(D9&gt;0,D9+SUM(D4:D7),"/"))</f>
      </c>
      <c r="E10" s="34">
        <f>IF(E5="/","/",IF(E9&gt;0,E9+SUM(E4:E7),"/"))</f>
      </c>
      <c r="F10" s="34">
        <f>IF(F5="/","/",IF(F9&gt;0,F9+SUM(F4:F7),"/"))</f>
      </c>
      <c r="G10" s="34">
        <f>IF(G5="/","/",IF(G9&gt;0,G9+SUM(G4:G7),"/"))</f>
      </c>
      <c r="H10" s="34">
        <f>IF(H5="/","/",IF(H9&gt;0,H9+SUM(H4:H7),"/"))</f>
      </c>
      <c r="I10" s="34">
        <f>IF(I5="/","/",IF(I9&gt;0,I9+SUM(I4:I7),"/"))</f>
      </c>
      <c r="J10" s="34">
        <f>IF(J5="/","/",IF(J9&gt;0,J9+SUM(J4:J7),"/"))</f>
      </c>
      <c r="K10" s="34">
        <f>IF(K5="/","/",IF(K9&gt;0,K9+SUM(K4:K7),"/"))</f>
      </c>
      <c r="L10" s="34">
        <f>IF(L5="/","/",IF(L9&gt;0,L9+SUM(L4:L7),"/"))</f>
      </c>
      <c r="M10" s="34">
        <f>IF(M5="/","/",IF(M9&gt;0,M9+SUM(M4:M7),"/"))</f>
      </c>
      <c r="N10" s="34">
        <f>IF(N5="/","/",IF(N9&gt;0,N9+SUM(N4:N7),"/"))</f>
      </c>
      <c r="O10" s="34">
        <f>IF(O5="/","/",IF(O9&gt;0,O9+SUM(O4:O7),"/"))</f>
      </c>
      <c r="P10" s="34">
        <f>IF(SUM(D10:O10)=0,"0",AVERAGEIF(D10:O10,"&lt;&gt;0",D10:O10))</f>
      </c>
      <c r="Q10" s="38"/>
    </row>
    <row r="11">
      <c r="A11" s="34">
        <v>9</v>
      </c>
      <c r="B11" s="31" t="str">
        <v>天津</v>
      </c>
      <c r="C11" s="37" t="str">
        <v>代理购电价格</v>
      </c>
      <c r="D11" s="36">
        <f>'分表8-2025三类细分价'!D23</f>
      </c>
      <c r="E11" s="36">
        <f>'分表8-2025三类细分价'!E23</f>
      </c>
      <c r="F11" s="36">
        <f>'分表8-2025三类细分价'!F23</f>
      </c>
      <c r="G11" s="36">
        <f>'分表8-2025三类细分价'!G23</f>
      </c>
      <c r="H11" s="36">
        <f>'分表8-2025三类细分价'!H23</f>
      </c>
      <c r="I11" s="36">
        <f>'分表8-2025三类细分价'!I23</f>
      </c>
      <c r="J11" s="36">
        <f>'分表8-2025三类细分价'!J23</f>
      </c>
      <c r="K11" s="36">
        <f>'分表8-2025三类细分价'!K23</f>
      </c>
      <c r="L11" s="36">
        <f>'分表8-2025三类细分价'!L23</f>
      </c>
      <c r="M11" s="36">
        <f>'分表8-2025三类细分价'!M23</f>
      </c>
      <c r="N11" s="36">
        <f>'分表8-2025三类细分价'!N23</f>
      </c>
      <c r="O11" s="36">
        <f>'分表8-2025三类细分价'!O23</f>
      </c>
      <c r="P11" s="36">
        <f>IF(SUM(D11:O11)=0,"0",AVERAGEIF(D11:O11,"&lt;&gt;0",D11:O11))</f>
      </c>
      <c r="Q11" s="35"/>
    </row>
    <row customHeight="true" ht="19" r="12">
      <c r="A12" s="34">
        <v>10</v>
      </c>
      <c r="B12" s="31" t="str">
        <v>天津</v>
      </c>
      <c r="C12" s="37" t="str">
        <v>上网环节线损电价</v>
      </c>
      <c r="D12" s="32">
        <f>'分表8-2025三类细分价'!D26</f>
      </c>
      <c r="E12" s="32">
        <f>'分表8-2025三类细分价'!E26</f>
      </c>
      <c r="F12" s="32">
        <f>'分表8-2025三类细分价'!F26</f>
      </c>
      <c r="G12" s="32">
        <f>'分表8-2025三类细分价'!G26</f>
      </c>
      <c r="H12" s="32">
        <f>'分表8-2025三类细分价'!H26</f>
      </c>
      <c r="I12" s="32">
        <f>'分表8-2025三类细分价'!I26</f>
      </c>
      <c r="J12" s="32">
        <f>'分表8-2025三类细分价'!J26</f>
      </c>
      <c r="K12" s="32">
        <f>'分表8-2025三类细分价'!K26</f>
      </c>
      <c r="L12" s="32">
        <f>'分表8-2025三类细分价'!L26</f>
      </c>
      <c r="M12" s="32">
        <f>'分表8-2025三类细分价'!M26</f>
      </c>
      <c r="N12" s="32">
        <f>'分表8-2025三类细分价'!N26</f>
      </c>
      <c r="O12" s="32">
        <f>'分表8-2025三类细分价'!O26</f>
      </c>
      <c r="P12" s="36">
        <f>IF(SUM(D12:O12)=0,"0",AVERAGEIF(D12:O12,"&lt;&gt;0",D12:O12))</f>
      </c>
      <c r="Q12" s="35"/>
    </row>
    <row customHeight="true" ht="19" r="13">
      <c r="A13" s="34">
        <v>11</v>
      </c>
      <c r="B13" s="31" t="str">
        <v>天津</v>
      </c>
      <c r="C13" s="37" t="str">
        <v>电度输配电价</v>
      </c>
      <c r="D13" s="36" cm="1">
        <f t="array" ref="D13:D13">_xlfn.XLOOKUP($C$1,'分表4-电度输配电价'!$C10：'分表4-电度输配电价'!$C17&amp;'分表4-电度输配电价'!$D10：'分表4-电度输配电价'!$D17,'分表4-电度输配电价'!$E10：'分表4-电度输配电价'!$E17)</f>
      </c>
      <c r="E13" s="36" cm="1">
        <f t="array" ref="E13:E13">_xlfn.XLOOKUP($C$1,'分表4-电度输配电价'!$C10：'分表4-电度输配电价'!$C17&amp;'分表4-电度输配电价'!$D10：'分表4-电度输配电价'!$D17,'分表4-电度输配电价'!$E10：'分表4-电度输配电价'!$E17)</f>
      </c>
      <c r="F13" s="36" cm="1">
        <f t="array" ref="F13:F13">_xlfn.XLOOKUP($C$1,'分表4-电度输配电价'!$C10：'分表4-电度输配电价'!$C17&amp;'分表4-电度输配电价'!$D10：'分表4-电度输配电价'!$D17,'分表4-电度输配电价'!$E10：'分表4-电度输配电价'!$E17)</f>
      </c>
      <c r="G13" s="36" cm="1">
        <f t="array" ref="G13:G13">_xlfn.XLOOKUP($C$1,'分表4-电度输配电价'!$C10：'分表4-电度输配电价'!$C17&amp;'分表4-电度输配电价'!$D10：'分表4-电度输配电价'!$D17,'分表4-电度输配电价'!$E10：'分表4-电度输配电价'!$E17)</f>
      </c>
      <c r="H13" s="36" cm="1">
        <f t="array" ref="H13:H13">_xlfn.XLOOKUP($C$1,'分表4-电度输配电价'!$C10：'分表4-电度输配电价'!$C17&amp;'分表4-电度输配电价'!$D10：'分表4-电度输配电价'!$D17,'分表4-电度输配电价'!$E10：'分表4-电度输配电价'!$E17)</f>
      </c>
      <c r="I13" s="36" cm="1">
        <f t="array" ref="I13:I13">_xlfn.XLOOKUP($C$1,'分表4-电度输配电价'!$C10：'分表4-电度输配电价'!$C17&amp;'分表4-电度输配电价'!$D10：'分表4-电度输配电价'!$D17,'分表4-电度输配电价'!$E10：'分表4-电度输配电价'!$E17)</f>
      </c>
      <c r="J13" s="36" cm="1">
        <f t="array" ref="J13:J13">_xlfn.XLOOKUP($C$1,'分表4-电度输配电价'!$C10：'分表4-电度输配电价'!$C17&amp;'分表4-电度输配电价'!$D10：'分表4-电度输配电价'!$D17,'分表4-电度输配电价'!$E10：'分表4-电度输配电价'!$E17)</f>
      </c>
      <c r="K13" s="36" cm="1">
        <f t="array" ref="K13:K13">_xlfn.XLOOKUP($C$1,'分表4-电度输配电价'!$C10：'分表4-电度输配电价'!$C17&amp;'分表4-电度输配电价'!$D10：'分表4-电度输配电价'!$D17,'分表4-电度输配电价'!$E10：'分表4-电度输配电价'!$E17)</f>
      </c>
      <c r="L13" s="36" cm="1">
        <f t="array" ref="L13:L13">_xlfn.XLOOKUP($C$1,'分表4-电度输配电价'!$C10：'分表4-电度输配电价'!$C17&amp;'分表4-电度输配电价'!$D10：'分表4-电度输配电价'!$D17,'分表4-电度输配电价'!$E10：'分表4-电度输配电价'!$E17)</f>
      </c>
      <c r="M13" s="36" cm="1">
        <f t="array" ref="M13:M13">_xlfn.XLOOKUP($C$1,'分表4-电度输配电价'!$C10：'分表4-电度输配电价'!$C17&amp;'分表4-电度输配电价'!$D10：'分表4-电度输配电价'!$D17,'分表4-电度输配电价'!$E10：'分表4-电度输配电价'!$E17)</f>
      </c>
      <c r="N13" s="36" cm="1">
        <f t="array" ref="N13:N13">_xlfn.XLOOKUP($C$1,'分表4-电度输配电价'!$C10：'分表4-电度输配电价'!$C17&amp;'分表4-电度输配电价'!$D10：'分表4-电度输配电价'!$D17,'分表4-电度输配电价'!$E10：'分表4-电度输配电价'!$E17)</f>
      </c>
      <c r="O13" s="36" cm="1">
        <f t="array" ref="O13:O13">_xlfn.XLOOKUP($C$1,'分表4-电度输配电价'!$C10：'分表4-电度输配电价'!$C17&amp;'分表4-电度输配电价'!$D10：'分表4-电度输配电价'!$D17,'分表4-电度输配电价'!$E10：'分表4-电度输配电价'!$E17)</f>
      </c>
      <c r="P13" s="36">
        <f>IF(SUM(D13:O13)=0,"0",AVERAGEIF(D13:O13,"&lt;&gt;0",D13:O13))</f>
      </c>
      <c r="Q13" s="35"/>
    </row>
    <row customHeight="true" ht="19" r="14">
      <c r="A14" s="34">
        <v>12</v>
      </c>
      <c r="B14" s="31" t="str">
        <v>天津</v>
      </c>
      <c r="C14" s="37" t="str">
        <v>政府性基金及附加</v>
      </c>
      <c r="D14" s="36" cm="1">
        <f t="array" ref="D14:D14">_xlfn.XLOOKUP($B$14,'分表5-政府性基金及附加'!$B$2：'分表5-政府性基金及附加'!$B$199,'分表5-政府性基金及附加'!$D$2：'分表5-政府性基金及附加'!$D$199)</f>
      </c>
      <c r="E14" s="36" cm="1">
        <f t="array" ref="E14:E14">_xlfn.XLOOKUP($B$14,'分表5-政府性基金及附加'!$B$2：'分表5-政府性基金及附加'!$B$199,'分表5-政府性基金及附加'!$D$2：'分表5-政府性基金及附加'!$D$199)</f>
      </c>
      <c r="F14" s="36" cm="1">
        <f t="array" ref="F14:F14">_xlfn.XLOOKUP($B$14,'分表5-政府性基金及附加'!$B$2：'分表5-政府性基金及附加'!$B$199,'分表5-政府性基金及附加'!$D$2：'分表5-政府性基金及附加'!$D$199)</f>
      </c>
      <c r="G14" s="36" cm="1">
        <f t="array" ref="G14:G14">_xlfn.XLOOKUP($B$14,'分表5-政府性基金及附加'!$B$2：'分表5-政府性基金及附加'!$B$199,'分表5-政府性基金及附加'!$D$2：'分表5-政府性基金及附加'!$D$199)</f>
      </c>
      <c r="H14" s="36" cm="1">
        <f t="array" ref="H14:H14">_xlfn.XLOOKUP($B$14,'分表5-政府性基金及附加'!$B$2：'分表5-政府性基金及附加'!$B$199,'分表5-政府性基金及附加'!$D$2：'分表5-政府性基金及附加'!$D$199)</f>
      </c>
      <c r="I14" s="36" cm="1">
        <f t="array" ref="I14:I14">_xlfn.XLOOKUP($B$14,'分表5-政府性基金及附加'!$B$2：'分表5-政府性基金及附加'!$B$199,'分表5-政府性基金及附加'!$D$2：'分表5-政府性基金及附加'!$D$199)</f>
      </c>
      <c r="J14" s="36" cm="1">
        <f t="array" ref="J14:J14">_xlfn.XLOOKUP($B$14,'分表5-政府性基金及附加'!$B$2：'分表5-政府性基金及附加'!$B$199,'分表5-政府性基金及附加'!$D$2：'分表5-政府性基金及附加'!$D$199)</f>
      </c>
      <c r="K14" s="36" cm="1">
        <f t="array" ref="K14:K14">_xlfn.XLOOKUP($B$14,'分表5-政府性基金及附加'!$B$2：'分表5-政府性基金及附加'!$B$199,'分表5-政府性基金及附加'!$D$2：'分表5-政府性基金及附加'!$D$199)</f>
      </c>
      <c r="L14" s="36" cm="1">
        <f t="array" ref="L14:L14">_xlfn.XLOOKUP($B$14,'分表5-政府性基金及附加'!$B$2：'分表5-政府性基金及附加'!$B$199,'分表5-政府性基金及附加'!$D$2：'分表5-政府性基金及附加'!$D$199)</f>
      </c>
      <c r="M14" s="36" cm="1">
        <f t="array" ref="M14:M14">_xlfn.XLOOKUP($B$14,'分表5-政府性基金及附加'!$B$2：'分表5-政府性基金及附加'!$B$199,'分表5-政府性基金及附加'!$D$2：'分表5-政府性基金及附加'!$D$199)</f>
      </c>
      <c r="N14" s="36" cm="1">
        <f t="array" ref="N14:N14">_xlfn.XLOOKUP($B$14,'分表5-政府性基金及附加'!$B$2：'分表5-政府性基金及附加'!$B$199,'分表5-政府性基金及附加'!$D$2：'分表5-政府性基金及附加'!$D$199)</f>
      </c>
      <c r="O14" s="36" cm="1">
        <f t="array" ref="O14:O14">_xlfn.XLOOKUP($B$14,'分表5-政府性基金及附加'!$B$2：'分表5-政府性基金及附加'!$B$199,'分表5-政府性基金及附加'!$D$2：'分表5-政府性基金及附加'!$D$199)</f>
      </c>
      <c r="P14" s="36">
        <f>IF(SUM(D14:O14)=0,"0",AVERAGEIF(D14:O14,"&lt;&gt;0",D14:O14))</f>
      </c>
      <c r="Q14" s="35"/>
    </row>
    <row customHeight="true" ht="19" r="15">
      <c r="A15" s="34">
        <v>13</v>
      </c>
      <c r="B15" s="31" t="str">
        <v>天津</v>
      </c>
      <c r="C15" s="37" t="str">
        <v>系统运行费折价</v>
      </c>
      <c r="D15" s="32">
        <f>'分表8-2025三类细分价'!D27</f>
      </c>
      <c r="E15" s="32">
        <f>'分表8-2025三类细分价'!E27</f>
      </c>
      <c r="F15" s="32">
        <f>'分表8-2025三类细分价'!F27</f>
      </c>
      <c r="G15" s="32">
        <f>'分表8-2025三类细分价'!G27</f>
      </c>
      <c r="H15" s="32">
        <f>'分表8-2025三类细分价'!H27</f>
      </c>
      <c r="I15" s="32">
        <f>'分表8-2025三类细分价'!I27</f>
      </c>
      <c r="J15" s="32">
        <f>'分表8-2025三类细分价'!J27</f>
      </c>
      <c r="K15" s="32">
        <f>'分表8-2025三类细分价'!K27</f>
      </c>
      <c r="L15" s="32">
        <f>'分表8-2025三类细分价'!L27</f>
      </c>
      <c r="M15" s="32">
        <f>'分表8-2025三类细分价'!M27</f>
      </c>
      <c r="N15" s="32">
        <f>'分表8-2025三类细分价'!N27</f>
      </c>
      <c r="O15" s="32">
        <f>'分表8-2025三类细分价'!O27</f>
      </c>
      <c r="P15" s="36">
        <f>IF(SUM(D15:O15)=0,"0",AVERAGEIF(D15:O15,"&lt;&gt;0",D15:O15))</f>
      </c>
      <c r="Q15" s="35"/>
    </row>
    <row customHeight="true" ht="19" r="16">
      <c r="A16" s="34">
        <v>14</v>
      </c>
      <c r="B16" s="31" t="str">
        <v>天津</v>
      </c>
      <c r="C16" s="37" t="str">
        <v>综合平段电价--电网代购</v>
      </c>
      <c r="D16" s="36">
        <f>IF(D13="/","/",SUM(D11:D15))</f>
      </c>
      <c r="E16" s="36">
        <f>IF(E13="/","/",SUM(E11:E15))</f>
      </c>
      <c r="F16" s="36">
        <f>IF(F13="/","/",SUM(F11:F15))</f>
      </c>
      <c r="G16" s="36">
        <f>IF(G13="/","/",SUM(G11:G15))</f>
      </c>
      <c r="H16" s="36">
        <f>IF(H13="/","/",SUM(H11:H15))</f>
      </c>
      <c r="I16" s="36">
        <f>IF(I13="/","/",SUM(I11:I15))</f>
      </c>
      <c r="J16" s="36">
        <f>IF(J13="/","/",SUM(J11:J15))</f>
      </c>
      <c r="K16" s="36">
        <f>IF(K13="/","/",SUM(K11:K15))</f>
      </c>
      <c r="L16" s="36">
        <f>IF(L13="/","/",SUM(L11:L15))</f>
      </c>
      <c r="M16" s="36">
        <f>IF(M13="/","/",SUM(M11:M15))</f>
      </c>
      <c r="N16" s="36">
        <f>IF(N13="/","/",SUM(N11:N15))</f>
      </c>
      <c r="O16" s="36">
        <f>IF(O13="/","/",SUM(O11:O15))</f>
      </c>
      <c r="P16" s="36">
        <f>IF(SUM(D16:O16)=0,"0",AVERAGEIF(D16:O16,"&lt;&gt;0",D16:O16))</f>
      </c>
      <c r="Q16" s="35"/>
    </row>
    <row customHeight="true" ht="19" r="17">
      <c r="A17" s="34">
        <v>15</v>
      </c>
      <c r="B17" s="31" t="str">
        <v>天津</v>
      </c>
      <c r="C17" s="37" t="str">
        <v>入市交易购电价格</v>
      </c>
      <c r="D17" s="32">
        <f>'分表9-2025交易价格'!D3</f>
      </c>
      <c r="E17" s="32">
        <f>'分表9-2025交易价格'!E3</f>
      </c>
      <c r="F17" s="32">
        <f>'分表9-2025交易价格'!F3</f>
      </c>
      <c r="G17" s="32">
        <f>'分表9-2025交易价格'!G3</f>
      </c>
      <c r="H17" s="32">
        <f>'分表9-2025交易价格'!H3</f>
      </c>
      <c r="I17" s="32">
        <f>'分表9-2025交易价格'!I3</f>
      </c>
      <c r="J17" s="32">
        <f>'分表9-2025交易价格'!J3</f>
      </c>
      <c r="K17" s="32">
        <f>'分表9-2025交易价格'!K3</f>
      </c>
      <c r="L17" s="32">
        <f>'分表9-2025交易价格'!L3</f>
      </c>
      <c r="M17" s="32">
        <f>'分表9-2025交易价格'!M3</f>
      </c>
      <c r="N17" s="32">
        <f>'分表9-2025交易价格'!N3</f>
      </c>
      <c r="O17" s="32">
        <f>'分表9-2025交易价格'!O3</f>
      </c>
      <c r="P17" s="36">
        <f>IF(SUM(D17:O17)=0,"0",AVERAGEIF(D17:O17,"&lt;&gt;0",D17:O17))</f>
      </c>
      <c r="Q17" s="35"/>
    </row>
    <row customHeight="true" ht="19" r="18">
      <c r="A18" s="34">
        <v>16</v>
      </c>
      <c r="B18" s="31" t="str">
        <v>天津</v>
      </c>
      <c r="C18" s="37" t="str">
        <v>综合平段电价--入市交易</v>
      </c>
      <c r="D18" s="36">
        <f>IF(D13="/","/",IF(D17&gt;0,D17+SUM(D12:D15),"/"))</f>
      </c>
      <c r="E18" s="36">
        <f>IF(E13="/","/",IF(E17&gt;0,E17+SUM(E12:E15),"/"))</f>
      </c>
      <c r="F18" s="36">
        <f>IF(F13="/","/",IF(F17&gt;0,F17+SUM(F12:F15),"/"))</f>
      </c>
      <c r="G18" s="36">
        <f>IF(G13="/","/",IF(G17&gt;0,G17+SUM(G12:G15),"/"))</f>
      </c>
      <c r="H18" s="36">
        <f>IF(H13="/","/",IF(H17&gt;0,H17+SUM(H12:H15),"/"))</f>
      </c>
      <c r="I18" s="36">
        <f>IF(I13="/","/",IF(I17&gt;0,I17+SUM(I12:I15),"/"))</f>
      </c>
      <c r="J18" s="36">
        <f>IF(J13="/","/",IF(J17&gt;0,J17+SUM(J12:J15),"/"))</f>
      </c>
      <c r="K18" s="36">
        <f>IF(K13="/","/",IF(K17&gt;0,K17+SUM(K12:K15),"/"))</f>
      </c>
      <c r="L18" s="36">
        <f>IF(L13="/","/",IF(L17&gt;0,L17+SUM(L12:L15),"/"))</f>
      </c>
      <c r="M18" s="36">
        <f>IF(M13="/","/",IF(M17&gt;0,M17+SUM(M12:M15),"/"))</f>
      </c>
      <c r="N18" s="36">
        <f>IF(N13="/","/",IF(N17&gt;0,N17+SUM(N12:N15),"/"))</f>
      </c>
      <c r="O18" s="36">
        <f>IF(O13="/","/",IF(O17&gt;0,O17+SUM(O12:O15),"/"))</f>
      </c>
      <c r="P18" s="36">
        <f>IF(SUM(D18:O18)=0,"0",AVERAGEIF(D18:O18,"&lt;&gt;0",D18:O18))</f>
      </c>
      <c r="Q18" s="35"/>
    </row>
    <row customHeight="true" ht="19" r="19">
      <c r="A19" s="34">
        <v>17</v>
      </c>
      <c r="B19" s="40" t="str">
        <v>河北南网</v>
      </c>
      <c r="C19" s="39" t="str">
        <v>代理购电价格</v>
      </c>
      <c r="D19" s="34">
        <f>'分表8-2025三类细分价'!D44</f>
      </c>
      <c r="E19" s="34">
        <f>'分表8-2025三类细分价'!E44</f>
      </c>
      <c r="F19" s="34">
        <f>'分表8-2025三类细分价'!F44</f>
      </c>
      <c r="G19" s="34">
        <f>'分表8-2025三类细分价'!G44</f>
      </c>
      <c r="H19" s="34">
        <f>'分表8-2025三类细分价'!H44</f>
      </c>
      <c r="I19" s="34">
        <f>'分表8-2025三类细分价'!I44</f>
      </c>
      <c r="J19" s="34">
        <f>'分表8-2025三类细分价'!J44</f>
      </c>
      <c r="K19" s="34">
        <f>'分表8-2025三类细分价'!K44</f>
      </c>
      <c r="L19" s="34">
        <f>'分表8-2025三类细分价'!L44</f>
      </c>
      <c r="M19" s="34">
        <f>'分表8-2025三类细分价'!M44</f>
      </c>
      <c r="N19" s="34">
        <f>'分表8-2025三类细分价'!N44</f>
      </c>
      <c r="O19" s="34">
        <f>'分表8-2025三类细分价'!O44</f>
      </c>
      <c r="P19" s="34">
        <f>IF(SUM(D19:O19)=0,"0",AVERAGEIF(D19:O19,"&lt;&gt;0",D19:O19))</f>
      </c>
      <c r="Q19" s="38"/>
    </row>
    <row customHeight="true" ht="19" r="20">
      <c r="A20" s="34">
        <v>18</v>
      </c>
      <c r="B20" s="40" t="str">
        <v>河北南网</v>
      </c>
      <c r="C20" s="39" t="str">
        <v>上网环节线损电价</v>
      </c>
      <c r="D20" s="34">
        <f>'分表8-2025三类细分价'!D47</f>
      </c>
      <c r="E20" s="34">
        <f>'分表8-2025三类细分价'!E47</f>
      </c>
      <c r="F20" s="34">
        <f>'分表8-2025三类细分价'!F47</f>
      </c>
      <c r="G20" s="34">
        <f>'分表8-2025三类细分价'!G47</f>
      </c>
      <c r="H20" s="34">
        <f>'分表8-2025三类细分价'!H47</f>
      </c>
      <c r="I20" s="34">
        <f>'分表8-2025三类细分价'!I47</f>
      </c>
      <c r="J20" s="34">
        <f>'分表8-2025三类细分价'!J47</f>
      </c>
      <c r="K20" s="34">
        <f>'分表8-2025三类细分价'!K47</f>
      </c>
      <c r="L20" s="34">
        <f>'分表8-2025三类细分价'!L47</f>
      </c>
      <c r="M20" s="34">
        <f>'分表8-2025三类细分价'!M47</f>
      </c>
      <c r="N20" s="34">
        <f>'分表8-2025三类细分价'!N47</f>
      </c>
      <c r="O20" s="34">
        <f>'分表8-2025三类细分价'!O47</f>
      </c>
      <c r="P20" s="34">
        <f>IF(SUM(D20:O20)=0,"0",AVERAGEIF(D20:O20,"&lt;&gt;0",D20:O20))</f>
      </c>
      <c r="Q20" s="38"/>
    </row>
    <row customHeight="true" ht="19" r="21">
      <c r="A21" s="34">
        <v>19</v>
      </c>
      <c r="B21" s="40" t="str">
        <v>河北南网</v>
      </c>
      <c r="C21" s="39" t="str">
        <v>电度输配电价</v>
      </c>
      <c r="D21" s="34" cm="1">
        <f t="array" ref="D21:D21">_xlfn.XLOOKUP($C$1,'分表4-电度输配电价'!$C18：'分表4-电度输配电价'!$C25&amp;'分表4-电度输配电价'!$D18：'分表4-电度输配电价'!$D25,'分表4-电度输配电价'!$E18：'分表4-电度输配电价'!$E25)</f>
      </c>
      <c r="E21" s="34" cm="1">
        <f t="array" ref="E21:E21">_xlfn.XLOOKUP($C$1,'分表4-电度输配电价'!$C18：'分表4-电度输配电价'!$C25&amp;'分表4-电度输配电价'!$D18：'分表4-电度输配电价'!$D25,'分表4-电度输配电价'!$E18：'分表4-电度输配电价'!$E25)</f>
      </c>
      <c r="F21" s="34" cm="1">
        <f t="array" ref="F21:F21">_xlfn.XLOOKUP($C$1,'分表4-电度输配电价'!$C18：'分表4-电度输配电价'!$C25&amp;'分表4-电度输配电价'!$D18：'分表4-电度输配电价'!$D25,'分表4-电度输配电价'!$E18：'分表4-电度输配电价'!$E25)</f>
      </c>
      <c r="G21" s="34" cm="1">
        <f t="array" ref="G21:G21">_xlfn.XLOOKUP($C$1,'分表4-电度输配电价'!$C18：'分表4-电度输配电价'!$C25&amp;'分表4-电度输配电价'!$D18：'分表4-电度输配电价'!$D25,'分表4-电度输配电价'!$E18：'分表4-电度输配电价'!$E25)</f>
      </c>
      <c r="H21" s="34" cm="1">
        <f t="array" ref="H21:H21">_xlfn.XLOOKUP($C$1,'分表4-电度输配电价'!$C18：'分表4-电度输配电价'!$C25&amp;'分表4-电度输配电价'!$D18：'分表4-电度输配电价'!$D25,'分表4-电度输配电价'!$E18：'分表4-电度输配电价'!$E25)</f>
      </c>
      <c r="I21" s="34" cm="1">
        <f t="array" ref="I21:I21">_xlfn.XLOOKUP($C$1,'分表4-电度输配电价'!$C18：'分表4-电度输配电价'!$C25&amp;'分表4-电度输配电价'!$D18：'分表4-电度输配电价'!$D25,'分表4-电度输配电价'!$E18：'分表4-电度输配电价'!$E25)</f>
      </c>
      <c r="J21" s="34" cm="1">
        <f t="array" ref="J21:J21">_xlfn.XLOOKUP($C$1,'分表4-电度输配电价'!$C18：'分表4-电度输配电价'!$C25&amp;'分表4-电度输配电价'!$D18：'分表4-电度输配电价'!$D25,'分表4-电度输配电价'!$E18：'分表4-电度输配电价'!$E25)</f>
      </c>
      <c r="K21" s="34" cm="1">
        <f t="array" ref="K21:K21">_xlfn.XLOOKUP($C$1,'分表4-电度输配电价'!$C18：'分表4-电度输配电价'!$C25&amp;'分表4-电度输配电价'!$D18：'分表4-电度输配电价'!$D25,'分表4-电度输配电价'!$E18：'分表4-电度输配电价'!$E25)</f>
      </c>
      <c r="L21" s="34" cm="1">
        <f t="array" ref="L21:L21">_xlfn.XLOOKUP($C$1,'分表4-电度输配电价'!$C18：'分表4-电度输配电价'!$C25&amp;'分表4-电度输配电价'!$D18：'分表4-电度输配电价'!$D25,'分表4-电度输配电价'!$E18：'分表4-电度输配电价'!$E25)</f>
      </c>
      <c r="M21" s="34" cm="1">
        <f t="array" ref="M21:M21">_xlfn.XLOOKUP($C$1,'分表4-电度输配电价'!$C18：'分表4-电度输配电价'!$C25&amp;'分表4-电度输配电价'!$D18：'分表4-电度输配电价'!$D25,'分表4-电度输配电价'!$E18：'分表4-电度输配电价'!$E25)</f>
      </c>
      <c r="N21" s="34" cm="1">
        <f t="array" ref="N21:N21">_xlfn.XLOOKUP($C$1,'分表4-电度输配电价'!$C18：'分表4-电度输配电价'!$C25&amp;'分表4-电度输配电价'!$D18：'分表4-电度输配电价'!$D25,'分表4-电度输配电价'!$E18：'分表4-电度输配电价'!$E25)</f>
      </c>
      <c r="O21" s="34" cm="1">
        <f t="array" ref="O21:O21">_xlfn.XLOOKUP($C$1,'分表4-电度输配电价'!$C18：'分表4-电度输配电价'!$C25&amp;'分表4-电度输配电价'!$D18：'分表4-电度输配电价'!$D25,'分表4-电度输配电价'!$E18：'分表4-电度输配电价'!$E25)</f>
      </c>
      <c r="P21" s="34">
        <f>IF(SUM(D21:O21)=0,"0",AVERAGEIF(D21:O21,"&lt;&gt;0",D21:O21))</f>
      </c>
      <c r="Q21" s="38"/>
    </row>
    <row customHeight="true" ht="19" r="22">
      <c r="A22" s="34">
        <v>20</v>
      </c>
      <c r="B22" s="40" t="str">
        <v>河北南网</v>
      </c>
      <c r="C22" s="39" t="str">
        <v>政府性基金及附加</v>
      </c>
      <c r="D22" s="34" cm="1">
        <f t="array" ref="D22:D22">_xlfn.XLOOKUP($B$22,'分表5-政府性基金及附加'!$B$2：'分表5-政府性基金及附加'!$B$199,'分表5-政府性基金及附加'!$D$2：'分表5-政府性基金及附加'!$D$199)</f>
      </c>
      <c r="E22" s="34" cm="1">
        <f t="array" ref="E22:E22">_xlfn.XLOOKUP($B$22,'分表5-政府性基金及附加'!$B$2：'分表5-政府性基金及附加'!$B$199,'分表5-政府性基金及附加'!$D$2：'分表5-政府性基金及附加'!$D$199)</f>
      </c>
      <c r="F22" s="34" cm="1">
        <f t="array" ref="F22:F22">_xlfn.XLOOKUP($B$22,'分表5-政府性基金及附加'!$B$2：'分表5-政府性基金及附加'!$B$199,'分表5-政府性基金及附加'!$D$2：'分表5-政府性基金及附加'!$D$199)</f>
      </c>
      <c r="G22" s="34" cm="1">
        <f t="array" ref="G22:G22">_xlfn.XLOOKUP($B$22,'分表5-政府性基金及附加'!$B$2：'分表5-政府性基金及附加'!$B$199,'分表5-政府性基金及附加'!$D$2：'分表5-政府性基金及附加'!$D$199)</f>
      </c>
      <c r="H22" s="34" cm="1">
        <f t="array" ref="H22:H22">_xlfn.XLOOKUP($B$22,'分表5-政府性基金及附加'!$B$2：'分表5-政府性基金及附加'!$B$199,'分表5-政府性基金及附加'!$D$2：'分表5-政府性基金及附加'!$D$199)</f>
      </c>
      <c r="I22" s="34" cm="1">
        <f t="array" ref="I22:I22">_xlfn.XLOOKUP($B$22,'分表5-政府性基金及附加'!$B$2：'分表5-政府性基金及附加'!$B$199,'分表5-政府性基金及附加'!$D$2：'分表5-政府性基金及附加'!$D$199)</f>
      </c>
      <c r="J22" s="34" cm="1">
        <f t="array" ref="J22:J22">_xlfn.XLOOKUP($B$22,'分表5-政府性基金及附加'!$B$2：'分表5-政府性基金及附加'!$B$199,'分表5-政府性基金及附加'!$D$2：'分表5-政府性基金及附加'!$D$199)</f>
      </c>
      <c r="K22" s="34" cm="1">
        <f t="array" ref="K22:K22">_xlfn.XLOOKUP($B$22,'分表5-政府性基金及附加'!$B$2：'分表5-政府性基金及附加'!$B$199,'分表5-政府性基金及附加'!$D$2：'分表5-政府性基金及附加'!$D$199)</f>
      </c>
      <c r="L22" s="34" cm="1">
        <f t="array" ref="L22:L22">_xlfn.XLOOKUP($B$22,'分表5-政府性基金及附加'!$B$2：'分表5-政府性基金及附加'!$B$199,'分表5-政府性基金及附加'!$D$2：'分表5-政府性基金及附加'!$D$199)</f>
      </c>
      <c r="M22" s="34" cm="1">
        <f t="array" ref="M22:M22">_xlfn.XLOOKUP($B$22,'分表5-政府性基金及附加'!$B$2：'分表5-政府性基金及附加'!$B$199,'分表5-政府性基金及附加'!$D$2：'分表5-政府性基金及附加'!$D$199)</f>
      </c>
      <c r="N22" s="34" cm="1">
        <f t="array" ref="N22:N22">_xlfn.XLOOKUP($B$22,'分表5-政府性基金及附加'!$B$2：'分表5-政府性基金及附加'!$B$199,'分表5-政府性基金及附加'!$D$2：'分表5-政府性基金及附加'!$D$199)</f>
      </c>
      <c r="O22" s="34" cm="1">
        <f t="array" ref="O22:O22">_xlfn.XLOOKUP($B$22,'分表5-政府性基金及附加'!$B$2：'分表5-政府性基金及附加'!$B$199,'分表5-政府性基金及附加'!$D$2：'分表5-政府性基金及附加'!$D$199)</f>
      </c>
      <c r="P22" s="34">
        <f>IF(SUM(D22:O22)=0,"0",AVERAGEIF(D22:O22,"&lt;&gt;0",D22:O22))</f>
      </c>
      <c r="Q22" s="38"/>
    </row>
    <row customHeight="true" ht="19" r="23">
      <c r="A23" s="34">
        <v>21</v>
      </c>
      <c r="B23" s="40" t="str">
        <v>河北南网</v>
      </c>
      <c r="C23" s="39" t="str">
        <v>系统运行费折价</v>
      </c>
      <c r="D23" s="34">
        <f>'分表8-2025三类细分价'!D48</f>
      </c>
      <c r="E23" s="34">
        <f>'分表8-2025三类细分价'!E48</f>
      </c>
      <c r="F23" s="34">
        <f>'分表8-2025三类细分价'!F48</f>
      </c>
      <c r="G23" s="34">
        <f>'分表8-2025三类细分价'!G48</f>
      </c>
      <c r="H23" s="34">
        <f>'分表8-2025三类细分价'!H48</f>
      </c>
      <c r="I23" s="34">
        <f>'分表8-2025三类细分价'!I48</f>
      </c>
      <c r="J23" s="34">
        <f>'分表8-2025三类细分价'!J48</f>
      </c>
      <c r="K23" s="34">
        <f>'分表8-2025三类细分价'!K48</f>
      </c>
      <c r="L23" s="34">
        <f>'分表8-2025三类细分价'!L48</f>
      </c>
      <c r="M23" s="34">
        <f>'分表8-2025三类细分价'!M48</f>
      </c>
      <c r="N23" s="34">
        <f>'分表8-2025三类细分价'!N48</f>
      </c>
      <c r="O23" s="34">
        <f>'分表8-2025三类细分价'!O48</f>
      </c>
      <c r="P23" s="34">
        <f>IF(SUM(D23:O23)=0,"0",AVERAGEIF(D23:O23,"&lt;&gt;0",D23:O23))</f>
      </c>
      <c r="Q23" s="38"/>
    </row>
    <row customHeight="true" ht="19" r="24">
      <c r="A24" s="34">
        <v>22</v>
      </c>
      <c r="B24" s="40" t="str">
        <v>河北南网</v>
      </c>
      <c r="C24" s="39" t="str">
        <v>综合平段电价--电网代购</v>
      </c>
      <c r="D24" s="34">
        <f>IF(D21="/","/",SUM(D19:D23))</f>
      </c>
      <c r="E24" s="34">
        <f>IF(E21="/","/",SUM(E19:E23))</f>
      </c>
      <c r="F24" s="34">
        <f>IF(F21="/","/",SUM(F19:F23))</f>
      </c>
      <c r="G24" s="34">
        <f>IF(G21="/","/",SUM(G19:G23))</f>
      </c>
      <c r="H24" s="34">
        <f>IF(H21="/","/",SUM(H19:H23))</f>
      </c>
      <c r="I24" s="34">
        <f>IF(I21="/","/",SUM(I19:I23))</f>
      </c>
      <c r="J24" s="34">
        <f>IF(J21="/","/",SUM(J19:J23))</f>
      </c>
      <c r="K24" s="34">
        <f>IF(K21="/","/",SUM(K19:K23))</f>
      </c>
      <c r="L24" s="34">
        <f>IF(L21="/","/",SUM(L19:L23))</f>
      </c>
      <c r="M24" s="34">
        <f>IF(M21="/","/",SUM(M19:M23))</f>
      </c>
      <c r="N24" s="34">
        <f>IF(N21="/","/",SUM(N19:N23))</f>
      </c>
      <c r="O24" s="34">
        <f>IF(O21="/","/",SUM(O19:O23))</f>
      </c>
      <c r="P24" s="34">
        <f>IF(SUM(D24:O24)=0,"0",AVERAGEIF(D24:O24,"&lt;&gt;0",D24:O24))</f>
      </c>
      <c r="Q24" s="38"/>
    </row>
    <row customHeight="true" ht="19" r="25">
      <c r="A25" s="34">
        <v>23</v>
      </c>
      <c r="B25" s="40" t="str">
        <v>河北南网</v>
      </c>
      <c r="C25" s="39" t="str">
        <v>入市交易购电价格</v>
      </c>
      <c r="D25" s="34">
        <f>'分表9-2025交易价格'!D4</f>
      </c>
      <c r="E25" s="34">
        <f>'分表9-2025交易价格'!E4</f>
      </c>
      <c r="F25" s="34">
        <f>'分表9-2025交易价格'!F4</f>
      </c>
      <c r="G25" s="34">
        <f>'分表9-2025交易价格'!G4</f>
      </c>
      <c r="H25" s="34">
        <f>'分表9-2025交易价格'!H4</f>
      </c>
      <c r="I25" s="34">
        <f>'分表9-2025交易价格'!I4</f>
      </c>
      <c r="J25" s="34">
        <f>'分表9-2025交易价格'!J4</f>
      </c>
      <c r="K25" s="34">
        <f>'分表9-2025交易价格'!K4</f>
      </c>
      <c r="L25" s="34">
        <f>'分表9-2025交易价格'!L4</f>
      </c>
      <c r="M25" s="34">
        <f>'分表9-2025交易价格'!M4</f>
      </c>
      <c r="N25" s="34">
        <f>'分表9-2025交易价格'!N4</f>
      </c>
      <c r="O25" s="34">
        <f>'分表9-2025交易价格'!O4</f>
      </c>
      <c r="P25" s="34">
        <f>IF(SUM(D25:O25)=0,"0",AVERAGEIF(D25:O25,"&lt;&gt;0",D25:O25))</f>
      </c>
      <c r="Q25" s="38"/>
    </row>
    <row customHeight="true" ht="19" r="26">
      <c r="A26" s="34">
        <v>24</v>
      </c>
      <c r="B26" s="40" t="str">
        <v>河北南网</v>
      </c>
      <c r="C26" s="39" t="str">
        <v>综合平段电价--入市交易</v>
      </c>
      <c r="D26" s="34">
        <f>IF(D21="/","/",IF(D25&gt;0,D25+SUM(D20:D23),"/"))</f>
      </c>
      <c r="E26" s="34">
        <f>IF(E21="/","/",IF(E25&gt;0,E25+SUM(E20:E23),"/"))</f>
      </c>
      <c r="F26" s="34">
        <f>IF(F21="/","/",IF(F25&gt;0,F25+SUM(F20:F23),"/"))</f>
      </c>
      <c r="G26" s="34">
        <f>IF(G21="/","/",IF(G25&gt;0,G25+SUM(G20:G23),"/"))</f>
      </c>
      <c r="H26" s="34">
        <f>IF(H21="/","/",IF(H25&gt;0,H25+SUM(H20:H23),"/"))</f>
      </c>
      <c r="I26" s="34">
        <f>IF(I21="/","/",IF(I25&gt;0,I25+SUM(I20:I23),"/"))</f>
      </c>
      <c r="J26" s="34">
        <f>IF(J21="/","/",IF(J25&gt;0,J25+SUM(J20:J23),"/"))</f>
      </c>
      <c r="K26" s="34">
        <f>IF(K21="/","/",IF(K25&gt;0,K25+SUM(K20:K23),"/"))</f>
      </c>
      <c r="L26" s="34">
        <f>IF(L21="/","/",IF(L25&gt;0,L25+SUM(L20:L23),"/"))</f>
      </c>
      <c r="M26" s="34">
        <f>IF(M21="/","/",IF(M25&gt;0,M25+SUM(M20:M23),"/"))</f>
      </c>
      <c r="N26" s="34">
        <f>IF(N21="/","/",IF(N25&gt;0,N25+SUM(N20:N23),"/"))</f>
      </c>
      <c r="O26" s="34">
        <f>IF(O21="/","/",IF(O25&gt;0,O25+SUM(O20:O23),"/"))</f>
      </c>
      <c r="P26" s="34">
        <f>IF(SUM(D26:O26)=0,"0",AVERAGEIF(D26:O26,"&lt;&gt;0",D26:O26))</f>
      </c>
      <c r="Q26" s="38"/>
    </row>
    <row customHeight="true" ht="19" r="27">
      <c r="A27" s="34">
        <v>25</v>
      </c>
      <c r="B27" s="31" t="str">
        <v>冀北</v>
      </c>
      <c r="C27" s="37" t="str">
        <v>代理购电价格</v>
      </c>
      <c r="D27" s="36">
        <f>'分表8-2025三类细分价'!D65</f>
      </c>
      <c r="E27" s="36">
        <f>'分表8-2025三类细分价'!E65</f>
      </c>
      <c r="F27" s="36">
        <f>'分表8-2025三类细分价'!F65</f>
      </c>
      <c r="G27" s="36">
        <f>'分表8-2025三类细分价'!G65</f>
      </c>
      <c r="H27" s="36">
        <f>'分表8-2025三类细分价'!H65</f>
      </c>
      <c r="I27" s="36">
        <f>'分表8-2025三类细分价'!I65</f>
      </c>
      <c r="J27" s="36">
        <f>'分表8-2025三类细分价'!J65</f>
      </c>
      <c r="K27" s="36">
        <f>'分表8-2025三类细分价'!K65</f>
      </c>
      <c r="L27" s="36">
        <f>'分表8-2025三类细分价'!L65</f>
      </c>
      <c r="M27" s="36">
        <f>'分表8-2025三类细分价'!M65</f>
      </c>
      <c r="N27" s="36">
        <f>'分表8-2025三类细分价'!N65</f>
      </c>
      <c r="O27" s="36">
        <f>'分表8-2025三类细分价'!O65</f>
      </c>
      <c r="P27" s="36">
        <f>IF(SUM(D27:O27)=0,"0",AVERAGEIF(D27:O27,"&lt;&gt;0",D27:O27))</f>
      </c>
      <c r="Q27" s="35"/>
    </row>
    <row customHeight="true" ht="19" r="28">
      <c r="A28" s="34">
        <v>26</v>
      </c>
      <c r="B28" s="31" t="str">
        <v>冀北</v>
      </c>
      <c r="C28" s="37" t="str">
        <v>上网环节线损电价</v>
      </c>
      <c r="D28" s="32">
        <f>'分表8-2025三类细分价'!D68</f>
      </c>
      <c r="E28" s="32">
        <f>'分表8-2025三类细分价'!E68</f>
      </c>
      <c r="F28" s="32">
        <f>'分表8-2025三类细分价'!F68</f>
      </c>
      <c r="G28" s="32">
        <f>'分表8-2025三类细分价'!G68</f>
      </c>
      <c r="H28" s="32">
        <f>'分表8-2025三类细分价'!H68</f>
      </c>
      <c r="I28" s="32">
        <f>'分表8-2025三类细分价'!I68</f>
      </c>
      <c r="J28" s="32">
        <f>'分表8-2025三类细分价'!J68</f>
      </c>
      <c r="K28" s="32">
        <f>'分表8-2025三类细分价'!K68</f>
      </c>
      <c r="L28" s="32">
        <f>'分表8-2025三类细分价'!L68</f>
      </c>
      <c r="M28" s="32">
        <f>'分表8-2025三类细分价'!M68</f>
      </c>
      <c r="N28" s="32">
        <f>'分表8-2025三类细分价'!N68</f>
      </c>
      <c r="O28" s="32">
        <f>'分表8-2025三类细分价'!O68</f>
      </c>
      <c r="P28" s="36">
        <f>IF(SUM(D28:O28)=0,"0",AVERAGEIF(D28:O28,"&lt;&gt;0",D28:O28))</f>
      </c>
      <c r="Q28" s="35"/>
    </row>
    <row customHeight="true" ht="19" r="29">
      <c r="A29" s="34">
        <v>27</v>
      </c>
      <c r="B29" s="31" t="str">
        <v>冀北</v>
      </c>
      <c r="C29" s="37" t="str">
        <v>电度输配电价</v>
      </c>
      <c r="D29" s="36" cm="1">
        <f t="array" ref="D29:D29">_xlfn.XLOOKUP($C$1,'分表4-电度输配电价'!$C26：'分表4-电度输配电价'!$C33&amp;'分表4-电度输配电价'!$D26：'分表4-电度输配电价'!$D33,'分表4-电度输配电价'!$E26：'分表4-电度输配电价'!$E33)</f>
      </c>
      <c r="E29" s="36" cm="1">
        <f t="array" ref="E29:E29">_xlfn.XLOOKUP($C$1,'分表4-电度输配电价'!$C26：'分表4-电度输配电价'!$C33&amp;'分表4-电度输配电价'!$D26：'分表4-电度输配电价'!$D33,'分表4-电度输配电价'!$E26：'分表4-电度输配电价'!$E33)</f>
      </c>
      <c r="F29" s="36" cm="1">
        <f t="array" ref="F29:F29">_xlfn.XLOOKUP($C$1,'分表4-电度输配电价'!$C26：'分表4-电度输配电价'!$C33&amp;'分表4-电度输配电价'!$D26：'分表4-电度输配电价'!$D33,'分表4-电度输配电价'!$E26：'分表4-电度输配电价'!$E33)</f>
      </c>
      <c r="G29" s="36" cm="1">
        <f t="array" ref="G29:G29">_xlfn.XLOOKUP($C$1,'分表4-电度输配电价'!$C26：'分表4-电度输配电价'!$C33&amp;'分表4-电度输配电价'!$D26：'分表4-电度输配电价'!$D33,'分表4-电度输配电价'!$E26：'分表4-电度输配电价'!$E33)</f>
      </c>
      <c r="H29" s="36" cm="1">
        <f t="array" ref="H29:H29">_xlfn.XLOOKUP($C$1,'分表4-电度输配电价'!$C26：'分表4-电度输配电价'!$C33&amp;'分表4-电度输配电价'!$D26：'分表4-电度输配电价'!$D33,'分表4-电度输配电价'!$E26：'分表4-电度输配电价'!$E33)</f>
      </c>
      <c r="I29" s="36" cm="1">
        <f t="array" ref="I29:I29">_xlfn.XLOOKUP($C$1,'分表4-电度输配电价'!$C26：'分表4-电度输配电价'!$C33&amp;'分表4-电度输配电价'!$D26：'分表4-电度输配电价'!$D33,'分表4-电度输配电价'!$E26：'分表4-电度输配电价'!$E33)</f>
      </c>
      <c r="J29" s="36" cm="1">
        <f t="array" ref="J29:J29">_xlfn.XLOOKUP($C$1,'分表4-电度输配电价'!$C26：'分表4-电度输配电价'!$C33&amp;'分表4-电度输配电价'!$D26：'分表4-电度输配电价'!$D33,'分表4-电度输配电价'!$E26：'分表4-电度输配电价'!$E33)</f>
      </c>
      <c r="K29" s="36" cm="1">
        <f t="array" ref="K29:K29">_xlfn.XLOOKUP($C$1,'分表4-电度输配电价'!$C26：'分表4-电度输配电价'!$C33&amp;'分表4-电度输配电价'!$D26：'分表4-电度输配电价'!$D33,'分表4-电度输配电价'!$E26：'分表4-电度输配电价'!$E33)</f>
      </c>
      <c r="L29" s="36" cm="1">
        <f t="array" ref="L29:L29">_xlfn.XLOOKUP($C$1,'分表4-电度输配电价'!$C26：'分表4-电度输配电价'!$C33&amp;'分表4-电度输配电价'!$D26：'分表4-电度输配电价'!$D33,'分表4-电度输配电价'!$E26：'分表4-电度输配电价'!$E33)</f>
      </c>
      <c r="M29" s="36" cm="1">
        <f t="array" ref="M29:M29">_xlfn.XLOOKUP($C$1,'分表4-电度输配电价'!$C26：'分表4-电度输配电价'!$C33&amp;'分表4-电度输配电价'!$D26：'分表4-电度输配电价'!$D33,'分表4-电度输配电价'!$E26：'分表4-电度输配电价'!$E33)</f>
      </c>
      <c r="N29" s="36" cm="1">
        <f t="array" ref="N29:N29">_xlfn.XLOOKUP($C$1,'分表4-电度输配电价'!$C26：'分表4-电度输配电价'!$C33&amp;'分表4-电度输配电价'!$D26：'分表4-电度输配电价'!$D33,'分表4-电度输配电价'!$E26：'分表4-电度输配电价'!$E33)</f>
      </c>
      <c r="O29" s="36" cm="1">
        <f t="array" ref="O29:O29">_xlfn.XLOOKUP($C$1,'分表4-电度输配电价'!$C26：'分表4-电度输配电价'!$C33&amp;'分表4-电度输配电价'!$D26：'分表4-电度输配电价'!$D33,'分表4-电度输配电价'!$E26：'分表4-电度输配电价'!$E33)</f>
      </c>
      <c r="P29" s="36">
        <f>IF(SUM(D29:O29)=0,"0",AVERAGEIF(D29:O29,"&lt;&gt;0",D29:O29))</f>
      </c>
      <c r="Q29" s="35"/>
    </row>
    <row customHeight="true" ht="19" r="30">
      <c r="A30" s="34">
        <v>28</v>
      </c>
      <c r="B30" s="31" t="str">
        <v>冀北</v>
      </c>
      <c r="C30" s="37" t="str">
        <v>政府性基金及附加</v>
      </c>
      <c r="D30" s="36" cm="1">
        <f t="array" ref="D30:D30">_xlfn.XLOOKUP($B$30,'分表5-政府性基金及附加'!$B$2：'分表5-政府性基金及附加'!$B$199,'分表5-政府性基金及附加'!$D$2：'分表5-政府性基金及附加'!$D$199)</f>
      </c>
      <c r="E30" s="36" cm="1">
        <f t="array" ref="E30:E30">_xlfn.XLOOKUP($B$30,'分表5-政府性基金及附加'!$B$2：'分表5-政府性基金及附加'!$B$199,'分表5-政府性基金及附加'!$D$2：'分表5-政府性基金及附加'!$D$199)</f>
      </c>
      <c r="F30" s="36" cm="1">
        <f t="array" ref="F30:F30">_xlfn.XLOOKUP($B$30,'分表5-政府性基金及附加'!$B$2：'分表5-政府性基金及附加'!$B$199,'分表5-政府性基金及附加'!$D$2：'分表5-政府性基金及附加'!$D$199)</f>
      </c>
      <c r="G30" s="36" cm="1">
        <f t="array" ref="G30:G30">_xlfn.XLOOKUP($B$30,'分表5-政府性基金及附加'!$B$2：'分表5-政府性基金及附加'!$B$199,'分表5-政府性基金及附加'!$D$2：'分表5-政府性基金及附加'!$D$199)</f>
      </c>
      <c r="H30" s="36" cm="1">
        <f t="array" ref="H30:H30">_xlfn.XLOOKUP($B$30,'分表5-政府性基金及附加'!$B$2：'分表5-政府性基金及附加'!$B$199,'分表5-政府性基金及附加'!$D$2：'分表5-政府性基金及附加'!$D$199)</f>
      </c>
      <c r="I30" s="36" cm="1">
        <f t="array" ref="I30:I30">_xlfn.XLOOKUP($B$30,'分表5-政府性基金及附加'!$B$2：'分表5-政府性基金及附加'!$B$199,'分表5-政府性基金及附加'!$D$2：'分表5-政府性基金及附加'!$D$199)</f>
      </c>
      <c r="J30" s="36" cm="1">
        <f t="array" ref="J30:J30">_xlfn.XLOOKUP($B$30,'分表5-政府性基金及附加'!$B$2：'分表5-政府性基金及附加'!$B$199,'分表5-政府性基金及附加'!$D$2：'分表5-政府性基金及附加'!$D$199)</f>
      </c>
      <c r="K30" s="36" cm="1">
        <f t="array" ref="K30:K30">_xlfn.XLOOKUP($B$30,'分表5-政府性基金及附加'!$B$2：'分表5-政府性基金及附加'!$B$199,'分表5-政府性基金及附加'!$D$2：'分表5-政府性基金及附加'!$D$199)</f>
      </c>
      <c r="L30" s="36" cm="1">
        <f t="array" ref="L30:L30">_xlfn.XLOOKUP($B$30,'分表5-政府性基金及附加'!$B$2：'分表5-政府性基金及附加'!$B$199,'分表5-政府性基金及附加'!$D$2：'分表5-政府性基金及附加'!$D$199)</f>
      </c>
      <c r="M30" s="36" cm="1">
        <f t="array" ref="M30:M30">_xlfn.XLOOKUP($B$30,'分表5-政府性基金及附加'!$B$2：'分表5-政府性基金及附加'!$B$199,'分表5-政府性基金及附加'!$D$2：'分表5-政府性基金及附加'!$D$199)</f>
      </c>
      <c r="N30" s="36" cm="1">
        <f t="array" ref="N30:N30">_xlfn.XLOOKUP($B$30,'分表5-政府性基金及附加'!$B$2：'分表5-政府性基金及附加'!$B$199,'分表5-政府性基金及附加'!$D$2：'分表5-政府性基金及附加'!$D$199)</f>
      </c>
      <c r="O30" s="36" cm="1">
        <f t="array" ref="O30:O30">_xlfn.XLOOKUP($B$30,'分表5-政府性基金及附加'!$B$2：'分表5-政府性基金及附加'!$B$199,'分表5-政府性基金及附加'!$D$2：'分表5-政府性基金及附加'!$D$199)</f>
      </c>
      <c r="P30" s="36">
        <f>IF(SUM(D30:O30)=0,"0",AVERAGEIF(D30:O30,"&lt;&gt;0",D30:O30))</f>
      </c>
      <c r="Q30" s="35"/>
    </row>
    <row customHeight="true" ht="19" r="31">
      <c r="A31" s="34">
        <v>29</v>
      </c>
      <c r="B31" s="31" t="str">
        <v>冀北</v>
      </c>
      <c r="C31" s="37" t="str">
        <v>系统运行费折价</v>
      </c>
      <c r="D31" s="32">
        <f>'分表8-2025三类细分价'!D69</f>
      </c>
      <c r="E31" s="32">
        <f>'分表8-2025三类细分价'!E69</f>
      </c>
      <c r="F31" s="32">
        <f>'分表8-2025三类细分价'!F69</f>
      </c>
      <c r="G31" s="32">
        <f>'分表8-2025三类细分价'!G69</f>
      </c>
      <c r="H31" s="32">
        <f>'分表8-2025三类细分价'!H69</f>
      </c>
      <c r="I31" s="32">
        <f>'分表8-2025三类细分价'!I69</f>
      </c>
      <c r="J31" s="32">
        <f>'分表8-2025三类细分价'!J69</f>
      </c>
      <c r="K31" s="32">
        <f>'分表8-2025三类细分价'!K69</f>
      </c>
      <c r="L31" s="32">
        <f>'分表8-2025三类细分价'!L69</f>
      </c>
      <c r="M31" s="32">
        <f>'分表8-2025三类细分价'!M69</f>
      </c>
      <c r="N31" s="32">
        <f>'分表8-2025三类细分价'!N69</f>
      </c>
      <c r="O31" s="32">
        <f>'分表8-2025三类细分价'!O69</f>
      </c>
      <c r="P31" s="36">
        <f>IF(SUM(D31:O31)=0,"0",AVERAGEIF(D31:O31,"&lt;&gt;0",D31:O31))</f>
      </c>
      <c r="Q31" s="35"/>
    </row>
    <row customHeight="true" ht="19" r="32">
      <c r="A32" s="34">
        <v>30</v>
      </c>
      <c r="B32" s="31" t="str">
        <v>冀北</v>
      </c>
      <c r="C32" s="37" t="str">
        <v>综合平段电价--电网代购</v>
      </c>
      <c r="D32" s="36">
        <f>IF(D29="/","/",SUM(D27:D31))</f>
      </c>
      <c r="E32" s="36">
        <f>IF(E29="/","/",SUM(E27:E31))</f>
      </c>
      <c r="F32" s="36">
        <f>IF(F29="/","/",SUM(F27:F31))</f>
      </c>
      <c r="G32" s="36">
        <f>IF(G29="/","/",SUM(G27:G31))</f>
      </c>
      <c r="H32" s="36">
        <f>IF(H29="/","/",SUM(H27:H31))</f>
      </c>
      <c r="I32" s="36">
        <f>IF(I29="/","/",SUM(I27:I31))</f>
      </c>
      <c r="J32" s="36">
        <f>IF(J29="/","/",SUM(J27:J31))</f>
      </c>
      <c r="K32" s="36">
        <f>IF(K29="/","/",SUM(K27:K31))</f>
      </c>
      <c r="L32" s="36">
        <f>IF(L29="/","/",SUM(L27:L31))</f>
      </c>
      <c r="M32" s="36">
        <f>IF(M29="/","/",SUM(M27:M31))</f>
      </c>
      <c r="N32" s="36">
        <f>IF(N29="/","/",SUM(N27:N31))</f>
      </c>
      <c r="O32" s="36">
        <f>IF(O29="/","/",SUM(O27:O31))</f>
      </c>
      <c r="P32" s="36">
        <f>IF(SUM(D32:O32)=0,"0",AVERAGEIF(D32:O32,"&lt;&gt;0",D32:O32))</f>
      </c>
      <c r="Q32" s="35"/>
    </row>
    <row r="33">
      <c r="A33" s="34">
        <v>31</v>
      </c>
      <c r="B33" s="31" t="str">
        <v>冀北</v>
      </c>
      <c r="C33" s="37" t="str">
        <v>入市交易购电价格</v>
      </c>
      <c r="D33" s="32">
        <f>'分表9-2025交易价格'!D5</f>
      </c>
      <c r="E33" s="32">
        <f>'分表9-2025交易价格'!E5</f>
      </c>
      <c r="F33" s="32">
        <f>'分表9-2025交易价格'!F5</f>
      </c>
      <c r="G33" s="32">
        <f>'分表9-2025交易价格'!G5</f>
      </c>
      <c r="H33" s="32">
        <f>'分表9-2025交易价格'!H5</f>
      </c>
      <c r="I33" s="32">
        <f>'分表9-2025交易价格'!I5</f>
      </c>
      <c r="J33" s="32">
        <f>'分表9-2025交易价格'!J5</f>
      </c>
      <c r="K33" s="32">
        <f>'分表9-2025交易价格'!K5</f>
      </c>
      <c r="L33" s="32">
        <f>'分表9-2025交易价格'!L5</f>
      </c>
      <c r="M33" s="32">
        <f>'分表9-2025交易价格'!M5</f>
      </c>
      <c r="N33" s="32">
        <f>'分表9-2025交易价格'!N5</f>
      </c>
      <c r="O33" s="32">
        <f>'分表9-2025交易价格'!O5</f>
      </c>
      <c r="P33" s="36">
        <f>IF(SUM(D33:O33)=0,"0",AVERAGEIF(D33:O33,"&lt;&gt;0",D33:O33))</f>
      </c>
      <c r="Q33" s="35"/>
    </row>
    <row r="34">
      <c r="A34" s="34">
        <v>32</v>
      </c>
      <c r="B34" s="31" t="str">
        <v>冀北</v>
      </c>
      <c r="C34" s="37" t="str">
        <v>综合平段电价--入市交易</v>
      </c>
      <c r="D34" s="36">
        <f>IF(D29="/","/",IF(D33&gt;0,D33+SUM(D28:D31),"/"))</f>
      </c>
      <c r="E34" s="36">
        <f>IF(E29="/","/",IF(E33&gt;0,E33+SUM(E28:E31),"/"))</f>
      </c>
      <c r="F34" s="36">
        <f>IF(F29="/","/",IF(F33&gt;0,F33+SUM(F28:F31),"/"))</f>
      </c>
      <c r="G34" s="36">
        <f>IF(G29="/","/",IF(G33&gt;0,G33+SUM(G28:G31),"/"))</f>
      </c>
      <c r="H34" s="36">
        <f>IF(H29="/","/",IF(H33&gt;0,H33+SUM(H28:H31),"/"))</f>
      </c>
      <c r="I34" s="36">
        <f>IF(I29="/","/",IF(I33&gt;0,I33+SUM(I28:I31),"/"))</f>
      </c>
      <c r="J34" s="36">
        <f>IF(J29="/","/",IF(J33&gt;0,J33+SUM(J28:J31),"/"))</f>
      </c>
      <c r="K34" s="36">
        <f>IF(K29="/","/",IF(K33&gt;0,K33+SUM(K28:K31),"/"))</f>
      </c>
      <c r="L34" s="36">
        <f>IF(L29="/","/",IF(L33&gt;0,L33+SUM(L28:L31),"/"))</f>
      </c>
      <c r="M34" s="36">
        <f>IF(M29="/","/",IF(M33&gt;0,M33+SUM(M28:M31),"/"))</f>
      </c>
      <c r="N34" s="36">
        <f>IF(N29="/","/",IF(N33&gt;0,N33+SUM(N28:N31),"/"))</f>
      </c>
      <c r="O34" s="36">
        <f>IF(O29="/","/",IF(O33&gt;0,O33+SUM(O28:O31),"/"))</f>
      </c>
      <c r="P34" s="36">
        <f>IF(SUM(D34:O34)=0,"0",AVERAGEIF(D34:O34,"&lt;&gt;0",D34:O34))</f>
      </c>
      <c r="Q34" s="35"/>
    </row>
    <row r="35">
      <c r="A35" s="34">
        <v>33</v>
      </c>
      <c r="B35" s="40" t="str">
        <v>山东</v>
      </c>
      <c r="C35" s="39" t="str">
        <v>代理购电价格</v>
      </c>
      <c r="D35" s="34">
        <f>'分表8-2025三类细分价'!D86</f>
      </c>
      <c r="E35" s="34">
        <f>'分表8-2025三类细分价'!E86</f>
      </c>
      <c r="F35" s="34">
        <f>'分表8-2025三类细分价'!F86</f>
      </c>
      <c r="G35" s="34">
        <f>'分表8-2025三类细分价'!G86</f>
      </c>
      <c r="H35" s="34">
        <f>'分表8-2025三类细分价'!H86</f>
      </c>
      <c r="I35" s="34">
        <f>'分表8-2025三类细分价'!I86</f>
      </c>
      <c r="J35" s="34">
        <f>'分表8-2025三类细分价'!J86</f>
      </c>
      <c r="K35" s="34">
        <f>'分表8-2025三类细分价'!K86</f>
      </c>
      <c r="L35" s="34">
        <f>'分表8-2025三类细分价'!L86</f>
      </c>
      <c r="M35" s="34">
        <f>'分表8-2025三类细分价'!M86</f>
      </c>
      <c r="N35" s="34">
        <f>'分表8-2025三类细分价'!N86</f>
      </c>
      <c r="O35" s="34">
        <f>'分表8-2025三类细分价'!O86</f>
      </c>
      <c r="P35" s="34">
        <f>IF(SUM(D35:O35)=0,"0",AVERAGEIF(D35:O35,"&lt;&gt;0",D35:O35))</f>
      </c>
      <c r="Q35" s="38"/>
    </row>
    <row customHeight="true" ht="19" r="36">
      <c r="A36" s="34">
        <v>34</v>
      </c>
      <c r="B36" s="40" t="str">
        <v>山东</v>
      </c>
      <c r="C36" s="39" t="str">
        <v>上网环节线损电价</v>
      </c>
      <c r="D36" s="34">
        <f>'分表8-2025三类细分价'!D90</f>
      </c>
      <c r="E36" s="34">
        <f>'分表8-2025三类细分价'!E90</f>
      </c>
      <c r="F36" s="34">
        <f>'分表8-2025三类细分价'!F90</f>
      </c>
      <c r="G36" s="34">
        <f>'分表8-2025三类细分价'!G90</f>
      </c>
      <c r="H36" s="34">
        <f>'分表8-2025三类细分价'!H90</f>
      </c>
      <c r="I36" s="34">
        <f>'分表8-2025三类细分价'!I90</f>
      </c>
      <c r="J36" s="34">
        <f>'分表8-2025三类细分价'!J90</f>
      </c>
      <c r="K36" s="34">
        <f>'分表8-2025三类细分价'!K90</f>
      </c>
      <c r="L36" s="34">
        <f>'分表8-2025三类细分价'!L90</f>
      </c>
      <c r="M36" s="34">
        <f>'分表8-2025三类细分价'!M90</f>
      </c>
      <c r="N36" s="34">
        <f>'分表8-2025三类细分价'!N90</f>
      </c>
      <c r="O36" s="34">
        <f>'分表8-2025三类细分价'!O90</f>
      </c>
      <c r="P36" s="34">
        <f>IF(SUM(D36:O36)=0,"0",AVERAGEIF(D36:O36,"&lt;&gt;0",D36:O36))</f>
      </c>
      <c r="Q36" s="38"/>
    </row>
    <row customHeight="true" ht="19" r="37">
      <c r="A37" s="34">
        <v>35</v>
      </c>
      <c r="B37" s="40" t="str">
        <v>山东</v>
      </c>
      <c r="C37" s="39" t="str">
        <v>电度输配电价</v>
      </c>
      <c r="D37" s="34" cm="1">
        <f t="array" ref="D37:D37">_xlfn.XLOOKUP($C$1,'分表4-电度输配电价'!$C34：'分表4-电度输配电价'!$C41&amp;'分表4-电度输配电价'!$D34：'分表4-电度输配电价'!$D41,'分表4-电度输配电价'!$E34：'分表4-电度输配电价'!$E41)</f>
      </c>
      <c r="E37" s="34" cm="1">
        <f t="array" ref="E37:E37">_xlfn.XLOOKUP($C$1,'分表4-电度输配电价'!$C34：'分表4-电度输配电价'!$C41&amp;'分表4-电度输配电价'!$D34：'分表4-电度输配电价'!$D41,'分表4-电度输配电价'!$E34：'分表4-电度输配电价'!$E41)</f>
      </c>
      <c r="F37" s="34" cm="1">
        <f t="array" ref="F37:F37">_xlfn.XLOOKUP($C$1,'分表4-电度输配电价'!$C34：'分表4-电度输配电价'!$C41&amp;'分表4-电度输配电价'!$D34：'分表4-电度输配电价'!$D41,'分表4-电度输配电价'!$E34：'分表4-电度输配电价'!$E41)</f>
      </c>
      <c r="G37" s="34" cm="1">
        <f t="array" ref="G37:G37">_xlfn.XLOOKUP($C$1,'分表4-电度输配电价'!$C34：'分表4-电度输配电价'!$C41&amp;'分表4-电度输配电价'!$D34：'分表4-电度输配电价'!$D41,'分表4-电度输配电价'!$E34：'分表4-电度输配电价'!$E41)</f>
      </c>
      <c r="H37" s="34" cm="1">
        <f t="array" ref="H37:H37">_xlfn.XLOOKUP($C$1,'分表4-电度输配电价'!$C34：'分表4-电度输配电价'!$C41&amp;'分表4-电度输配电价'!$D34：'分表4-电度输配电价'!$D41,'分表4-电度输配电价'!$E34：'分表4-电度输配电价'!$E41)</f>
      </c>
      <c r="I37" s="34" cm="1">
        <f t="array" ref="I37:I37">_xlfn.XLOOKUP($C$1,'分表4-电度输配电价'!$C34：'分表4-电度输配电价'!$C41&amp;'分表4-电度输配电价'!$D34：'分表4-电度输配电价'!$D41,'分表4-电度输配电价'!$E34：'分表4-电度输配电价'!$E41)</f>
      </c>
      <c r="J37" s="34" cm="1">
        <f t="array" ref="J37:J37">_xlfn.XLOOKUP($C$1,'分表4-电度输配电价'!$C34：'分表4-电度输配电价'!$C41&amp;'分表4-电度输配电价'!$D34：'分表4-电度输配电价'!$D41,'分表4-电度输配电价'!$E34：'分表4-电度输配电价'!$E41)</f>
      </c>
      <c r="K37" s="34" cm="1">
        <f t="array" ref="K37:K37">_xlfn.XLOOKUP($C$1,'分表4-电度输配电价'!$C34：'分表4-电度输配电价'!$C41&amp;'分表4-电度输配电价'!$D34：'分表4-电度输配电价'!$D41,'分表4-电度输配电价'!$E34：'分表4-电度输配电价'!$E41)</f>
      </c>
      <c r="L37" s="34" cm="1">
        <f t="array" ref="L37:L37">_xlfn.XLOOKUP($C$1,'分表4-电度输配电价'!$C34：'分表4-电度输配电价'!$C41&amp;'分表4-电度输配电价'!$D34：'分表4-电度输配电价'!$D41,'分表4-电度输配电价'!$E34：'分表4-电度输配电价'!$E41)</f>
      </c>
      <c r="M37" s="34" cm="1">
        <f t="array" ref="M37:M37">_xlfn.XLOOKUP($C$1,'分表4-电度输配电价'!$C34：'分表4-电度输配电价'!$C41&amp;'分表4-电度输配电价'!$D34：'分表4-电度输配电价'!$D41,'分表4-电度输配电价'!$E34：'分表4-电度输配电价'!$E41)</f>
      </c>
      <c r="N37" s="34" cm="1">
        <f t="array" ref="N37:N37">_xlfn.XLOOKUP($C$1,'分表4-电度输配电价'!$C34：'分表4-电度输配电价'!$C41&amp;'分表4-电度输配电价'!$D34：'分表4-电度输配电价'!$D41,'分表4-电度输配电价'!$E34：'分表4-电度输配电价'!$E41)</f>
      </c>
      <c r="O37" s="34" cm="1">
        <f t="array" ref="O37:O37">_xlfn.XLOOKUP($C$1,'分表4-电度输配电价'!$C34：'分表4-电度输配电价'!$C41&amp;'分表4-电度输配电价'!$D34：'分表4-电度输配电价'!$D41,'分表4-电度输配电价'!$E34：'分表4-电度输配电价'!$E41)</f>
      </c>
      <c r="P37" s="34">
        <f>IF(SUM(D37:O37)=0,"0",AVERAGEIF(D37:O37,"&lt;&gt;0",D37:O37))</f>
      </c>
      <c r="Q37" s="38"/>
    </row>
    <row customHeight="true" ht="19" r="38">
      <c r="A38" s="34">
        <v>36</v>
      </c>
      <c r="B38" s="40" t="str">
        <v>山东</v>
      </c>
      <c r="C38" s="39" t="str">
        <v>政府性基金及附加</v>
      </c>
      <c r="D38" s="34" cm="1">
        <f t="array" ref="D38:D38">_xlfn.XLOOKUP($B$38,'分表5-政府性基金及附加'!$B$2：'分表5-政府性基金及附加'!$B$199,'分表5-政府性基金及附加'!$D$2：'分表5-政府性基金及附加'!$D$199)</f>
      </c>
      <c r="E38" s="34" cm="1">
        <f t="array" ref="E38:E38">_xlfn.XLOOKUP($B$38,'分表5-政府性基金及附加'!$B$2：'分表5-政府性基金及附加'!$B$199,'分表5-政府性基金及附加'!$D$2：'分表5-政府性基金及附加'!$D$199)</f>
      </c>
      <c r="F38" s="34" cm="1">
        <f t="array" ref="F38:F38">_xlfn.XLOOKUP($B$38,'分表5-政府性基金及附加'!$B$2：'分表5-政府性基金及附加'!$B$199,'分表5-政府性基金及附加'!$D$2：'分表5-政府性基金及附加'!$D$199)</f>
      </c>
      <c r="G38" s="34" cm="1">
        <f t="array" ref="G38:G38">_xlfn.XLOOKUP($B$38,'分表5-政府性基金及附加'!$B$2：'分表5-政府性基金及附加'!$B$199,'分表5-政府性基金及附加'!$D$2：'分表5-政府性基金及附加'!$D$199)</f>
      </c>
      <c r="H38" s="34" cm="1">
        <f t="array" ref="H38:H38">_xlfn.XLOOKUP($B$38,'分表5-政府性基金及附加'!$B$2：'分表5-政府性基金及附加'!$B$199,'分表5-政府性基金及附加'!$D$2：'分表5-政府性基金及附加'!$D$199)</f>
      </c>
      <c r="I38" s="34" cm="1">
        <f t="array" ref="I38:I38">_xlfn.XLOOKUP($B$38,'分表5-政府性基金及附加'!$B$2：'分表5-政府性基金及附加'!$B$199,'分表5-政府性基金及附加'!$D$2：'分表5-政府性基金及附加'!$D$199)</f>
      </c>
      <c r="J38" s="34" cm="1">
        <f t="array" ref="J38:J38">_xlfn.XLOOKUP($B$38,'分表5-政府性基金及附加'!$B$2：'分表5-政府性基金及附加'!$B$199,'分表5-政府性基金及附加'!$D$2：'分表5-政府性基金及附加'!$D$199)</f>
      </c>
      <c r="K38" s="34" cm="1">
        <f t="array" ref="K38:K38">_xlfn.XLOOKUP($B$38,'分表5-政府性基金及附加'!$B$2：'分表5-政府性基金及附加'!$B$199,'分表5-政府性基金及附加'!$D$2：'分表5-政府性基金及附加'!$D$199)</f>
      </c>
      <c r="L38" s="34" cm="1">
        <f t="array" ref="L38:L38">_xlfn.XLOOKUP($B$38,'分表5-政府性基金及附加'!$B$2：'分表5-政府性基金及附加'!$B$199,'分表5-政府性基金及附加'!$D$2：'分表5-政府性基金及附加'!$D$199)</f>
      </c>
      <c r="M38" s="34" cm="1">
        <f t="array" ref="M38:M38">_xlfn.XLOOKUP($B$38,'分表5-政府性基金及附加'!$B$2：'分表5-政府性基金及附加'!$B$199,'分表5-政府性基金及附加'!$D$2：'分表5-政府性基金及附加'!$D$199)</f>
      </c>
      <c r="N38" s="34" cm="1">
        <f t="array" ref="N38:N38">_xlfn.XLOOKUP($B$38,'分表5-政府性基金及附加'!$B$2：'分表5-政府性基金及附加'!$B$199,'分表5-政府性基金及附加'!$D$2：'分表5-政府性基金及附加'!$D$199)</f>
      </c>
      <c r="O38" s="34" cm="1">
        <f t="array" ref="O38:O38">_xlfn.XLOOKUP($B$38,'分表5-政府性基金及附加'!$B$2：'分表5-政府性基金及附加'!$B$199,'分表5-政府性基金及附加'!$D$2：'分表5-政府性基金及附加'!$D$199)</f>
      </c>
      <c r="P38" s="34">
        <f>IF(SUM(D38:O38)=0,"0",AVERAGEIF(D38:O38,"&lt;&gt;0",D38:O38))</f>
      </c>
      <c r="Q38" s="38"/>
    </row>
    <row customHeight="true" ht="19" r="39">
      <c r="A39" s="34">
        <v>37</v>
      </c>
      <c r="B39" s="40" t="str">
        <v>山东</v>
      </c>
      <c r="C39" s="39" t="str">
        <v>系统运行费折价</v>
      </c>
      <c r="D39" s="34">
        <f>'分表8-2025三类细分价'!D91</f>
      </c>
      <c r="E39" s="34">
        <f>'分表8-2025三类细分价'!E91</f>
      </c>
      <c r="F39" s="34">
        <f>'分表8-2025三类细分价'!F91</f>
      </c>
      <c r="G39" s="34">
        <f>'分表8-2025三类细分价'!G91</f>
      </c>
      <c r="H39" s="34">
        <f>'分表8-2025三类细分价'!H91</f>
      </c>
      <c r="I39" s="34">
        <f>'分表8-2025三类细分价'!I91</f>
      </c>
      <c r="J39" s="34">
        <f>'分表8-2025三类细分价'!J91</f>
      </c>
      <c r="K39" s="34">
        <f>'分表8-2025三类细分价'!K91</f>
      </c>
      <c r="L39" s="34">
        <f>'分表8-2025三类细分价'!L91</f>
      </c>
      <c r="M39" s="34">
        <f>'分表8-2025三类细分价'!M91</f>
      </c>
      <c r="N39" s="34">
        <f>'分表8-2025三类细分价'!N91</f>
      </c>
      <c r="O39" s="34">
        <f>'分表8-2025三类细分价'!O91</f>
      </c>
      <c r="P39" s="34">
        <f>IF(SUM(D39:O39)=0,"0",AVERAGEIF(D39:O39,"&lt;&gt;0",D39:O39))</f>
      </c>
      <c r="Q39" s="38"/>
    </row>
    <row customHeight="true" ht="19" r="40">
      <c r="A40" s="34">
        <v>38</v>
      </c>
      <c r="B40" s="40" t="str">
        <v>山东</v>
      </c>
      <c r="C40" s="39" t="str">
        <v>综合平段电价--电网代购</v>
      </c>
      <c r="D40" s="34">
        <f>IF(D37="/","/",SUM(D35:D39))</f>
      </c>
      <c r="E40" s="34">
        <f>IF(E37="/","/",SUM(E35:E39))</f>
      </c>
      <c r="F40" s="34">
        <f>IF(F37="/","/",SUM(F35:F39))</f>
      </c>
      <c r="G40" s="34">
        <f>IF(G37="/","/",SUM(G35:G39))</f>
      </c>
      <c r="H40" s="34">
        <f>IF(H37="/","/",SUM(H35:H39))</f>
      </c>
      <c r="I40" s="34">
        <f>IF(I37="/","/",SUM(I35:I39))</f>
      </c>
      <c r="J40" s="34">
        <f>IF(J37="/","/",SUM(J35:J39))</f>
      </c>
      <c r="K40" s="34">
        <f>IF(K37="/","/",SUM(K35:K39))</f>
      </c>
      <c r="L40" s="34">
        <f>IF(L37="/","/",SUM(L35:L39))</f>
      </c>
      <c r="M40" s="34">
        <f>IF(M37="/","/",SUM(M35:M39))</f>
      </c>
      <c r="N40" s="34">
        <f>IF(N37="/","/",SUM(N35:N39))</f>
      </c>
      <c r="O40" s="34">
        <f>IF(O37="/","/",SUM(O35:O39))</f>
      </c>
      <c r="P40" s="34">
        <f>IF(SUM(D40:O40)=0,"0",AVERAGEIF(D40:O40,"&lt;&gt;0",D40:O40))</f>
      </c>
      <c r="Q40" s="38"/>
    </row>
    <row customHeight="true" ht="19" r="41">
      <c r="A41" s="34">
        <v>39</v>
      </c>
      <c r="B41" s="40" t="str">
        <v>山东</v>
      </c>
      <c r="C41" s="39" t="str">
        <v>入市交易购电价格</v>
      </c>
      <c r="D41" s="34">
        <f>'分表9-2025交易价格'!D6</f>
      </c>
      <c r="E41" s="34">
        <f>'分表9-2025交易价格'!E6</f>
      </c>
      <c r="F41" s="34">
        <f>'分表9-2025交易价格'!F6</f>
      </c>
      <c r="G41" s="34">
        <f>'分表9-2025交易价格'!G6</f>
      </c>
      <c r="H41" s="34">
        <f>'分表9-2025交易价格'!H6</f>
      </c>
      <c r="I41" s="34">
        <f>'分表9-2025交易价格'!I6</f>
      </c>
      <c r="J41" s="34">
        <f>'分表9-2025交易价格'!J6</f>
      </c>
      <c r="K41" s="34">
        <f>'分表9-2025交易价格'!K6</f>
      </c>
      <c r="L41" s="34">
        <f>'分表9-2025交易价格'!L6</f>
      </c>
      <c r="M41" s="34">
        <f>'分表9-2025交易价格'!M6</f>
      </c>
      <c r="N41" s="34">
        <f>'分表9-2025交易价格'!N6</f>
      </c>
      <c r="O41" s="34">
        <f>'分表9-2025交易价格'!O6</f>
      </c>
      <c r="P41" s="34">
        <f>IF(SUM(D41:O41)=0,"0",AVERAGEIF(D41:O41,"&lt;&gt;0",D41:O41))</f>
      </c>
      <c r="Q41" s="38"/>
    </row>
    <row r="42">
      <c r="A42" s="34">
        <v>40</v>
      </c>
      <c r="B42" s="40" t="str">
        <v>山东</v>
      </c>
      <c r="C42" s="39" t="str">
        <v>综合平段电价--入市交易</v>
      </c>
      <c r="D42" s="34">
        <f>IF(D37="/","/",IF(D41&gt;0,D41+SUM(D36:D39),"/"))</f>
      </c>
      <c r="E42" s="34">
        <f>IF(E37="/","/",IF(E41&gt;0,E41+SUM(E36:E39),"/"))</f>
      </c>
      <c r="F42" s="34">
        <f>IF(F37="/","/",IF(F41&gt;0,F41+SUM(F36:F39),"/"))</f>
      </c>
      <c r="G42" s="34">
        <f>IF(G37="/","/",IF(G41&gt;0,G41+SUM(G36:G39),"/"))</f>
      </c>
      <c r="H42" s="34">
        <f>IF(H37="/","/",IF(H41&gt;0,H41+SUM(H36:H39),"/"))</f>
      </c>
      <c r="I42" s="34">
        <f>IF(I37="/","/",IF(I41&gt;0,I41+SUM(I36:I39),"/"))</f>
      </c>
      <c r="J42" s="34">
        <f>IF(J37="/","/",IF(J41&gt;0,J41+SUM(J36:J39),"/"))</f>
      </c>
      <c r="K42" s="34">
        <f>IF(K37="/","/",IF(K41&gt;0,K41+SUM(K36:K39),"/"))</f>
      </c>
      <c r="L42" s="34">
        <f>IF(L37="/","/",IF(L41&gt;0,L41+SUM(L36:L39),"/"))</f>
      </c>
      <c r="M42" s="34">
        <f>IF(M37="/","/",IF(M41&gt;0,M41+SUM(M36:M39),"/"))</f>
      </c>
      <c r="N42" s="34">
        <f>IF(N37="/","/",IF(N41&gt;0,N41+SUM(N36:N39),"/"))</f>
      </c>
      <c r="O42" s="34">
        <f>IF(O37="/","/",IF(O41&gt;0,O41+SUM(O36:O39),"/"))</f>
      </c>
      <c r="P42" s="34">
        <f>IF(SUM(D42:O42)=0,"0",AVERAGEIF(D42:O42,"&lt;&gt;0",D42:O42))</f>
      </c>
      <c r="Q42" s="38"/>
    </row>
    <row customHeight="true" ht="19" r="43">
      <c r="A43" s="34">
        <v>41</v>
      </c>
      <c r="B43" s="31" t="str">
        <v>山西</v>
      </c>
      <c r="C43" s="37" t="str">
        <v>代理购电价格</v>
      </c>
      <c r="D43" s="36">
        <f>'分表8-2025三类细分价'!D108</f>
      </c>
      <c r="E43" s="36">
        <f>'分表8-2025三类细分价'!E108</f>
      </c>
      <c r="F43" s="36">
        <f>'分表8-2025三类细分价'!F108</f>
      </c>
      <c r="G43" s="36">
        <f>'分表8-2025三类细分价'!G108</f>
      </c>
      <c r="H43" s="36">
        <f>'分表8-2025三类细分价'!H108</f>
      </c>
      <c r="I43" s="36">
        <f>'分表8-2025三类细分价'!I108</f>
      </c>
      <c r="J43" s="36">
        <f>'分表8-2025三类细分价'!J108</f>
      </c>
      <c r="K43" s="36">
        <f>'分表8-2025三类细分价'!K108</f>
      </c>
      <c r="L43" s="36">
        <f>'分表8-2025三类细分价'!L108</f>
      </c>
      <c r="M43" s="36">
        <f>'分表8-2025三类细分价'!M108</f>
      </c>
      <c r="N43" s="36">
        <f>'分表8-2025三类细分价'!N108</f>
      </c>
      <c r="O43" s="36">
        <f>'分表8-2025三类细分价'!O108</f>
      </c>
      <c r="P43" s="36">
        <f>IF(SUM(D43:O43)=0,"0",AVERAGEIF(D43:O43,"&lt;&gt;0",D43:O43))</f>
      </c>
      <c r="Q43" s="35"/>
    </row>
    <row customHeight="true" ht="19" r="44">
      <c r="A44" s="34">
        <v>42</v>
      </c>
      <c r="B44" s="31" t="str">
        <v>山西</v>
      </c>
      <c r="C44" s="37" t="str">
        <v>上网环节线损电价</v>
      </c>
      <c r="D44" s="32">
        <f>'分表8-2025三类细分价'!D111</f>
      </c>
      <c r="E44" s="32">
        <f>'分表8-2025三类细分价'!E111</f>
      </c>
      <c r="F44" s="32">
        <f>'分表8-2025三类细分价'!F111</f>
      </c>
      <c r="G44" s="32">
        <f>'分表8-2025三类细分价'!G111</f>
      </c>
      <c r="H44" s="32">
        <f>'分表8-2025三类细分价'!H111</f>
      </c>
      <c r="I44" s="32">
        <f>'分表8-2025三类细分价'!I111</f>
      </c>
      <c r="J44" s="32">
        <f>'分表8-2025三类细分价'!J111</f>
      </c>
      <c r="K44" s="32">
        <f>'分表8-2025三类细分价'!K111</f>
      </c>
      <c r="L44" s="32">
        <f>'分表8-2025三类细分价'!L111</f>
      </c>
      <c r="M44" s="32">
        <f>'分表8-2025三类细分价'!M111</f>
      </c>
      <c r="N44" s="32">
        <f>'分表8-2025三类细分价'!N111</f>
      </c>
      <c r="O44" s="32">
        <f>'分表8-2025三类细分价'!O111</f>
      </c>
      <c r="P44" s="36">
        <f>IF(SUM(D44:O44)=0,"0",AVERAGEIF(D44:O44,"&lt;&gt;0",D44:O44))</f>
      </c>
      <c r="Q44" s="35"/>
    </row>
    <row customHeight="true" ht="19" r="45">
      <c r="A45" s="34">
        <v>43</v>
      </c>
      <c r="B45" s="31" t="str">
        <v>山西</v>
      </c>
      <c r="C45" s="37" t="str">
        <v>电度输配电价</v>
      </c>
      <c r="D45" s="36" cm="1">
        <f t="array" ref="D45:D45">_xlfn.XLOOKUP($C$1,'分表4-电度输配电价'!$C42：'分表4-电度输配电价'!$C49&amp;'分表4-电度输配电价'!$D42：'分表4-电度输配电价'!$D49,'分表4-电度输配电价'!$E42：'分表4-电度输配电价'!$E49)</f>
      </c>
      <c r="E45" s="36" cm="1">
        <f t="array" ref="E45:E45">_xlfn.XLOOKUP($C$1,'分表4-电度输配电价'!$C42：'分表4-电度输配电价'!$C49&amp;'分表4-电度输配电价'!$D42：'分表4-电度输配电价'!$D49,'分表4-电度输配电价'!$E42：'分表4-电度输配电价'!$E49)</f>
      </c>
      <c r="F45" s="36" cm="1">
        <f t="array" ref="F45:F45">_xlfn.XLOOKUP($C$1,'分表4-电度输配电价'!$C42：'分表4-电度输配电价'!$C49&amp;'分表4-电度输配电价'!$D42：'分表4-电度输配电价'!$D49,'分表4-电度输配电价'!$E42：'分表4-电度输配电价'!$E49)</f>
      </c>
      <c r="G45" s="36" cm="1">
        <f t="array" ref="G45:G45">_xlfn.XLOOKUP($C$1,'分表4-电度输配电价'!$C42：'分表4-电度输配电价'!$C49&amp;'分表4-电度输配电价'!$D42：'分表4-电度输配电价'!$D49,'分表4-电度输配电价'!$E42：'分表4-电度输配电价'!$E49)</f>
      </c>
      <c r="H45" s="36" cm="1">
        <f t="array" ref="H45:H45">_xlfn.XLOOKUP($C$1,'分表4-电度输配电价'!$C42：'分表4-电度输配电价'!$C49&amp;'分表4-电度输配电价'!$D42：'分表4-电度输配电价'!$D49,'分表4-电度输配电价'!$E42：'分表4-电度输配电价'!$E49)</f>
      </c>
      <c r="I45" s="36" cm="1">
        <f t="array" ref="I45:I45">_xlfn.XLOOKUP($C$1,'分表4-电度输配电价'!$C42：'分表4-电度输配电价'!$C49&amp;'分表4-电度输配电价'!$D42：'分表4-电度输配电价'!$D49,'分表4-电度输配电价'!$E42：'分表4-电度输配电价'!$E49)</f>
      </c>
      <c r="J45" s="36" cm="1">
        <f t="array" ref="J45:J45">_xlfn.XLOOKUP($C$1,'分表4-电度输配电价'!$C42：'分表4-电度输配电价'!$C49&amp;'分表4-电度输配电价'!$D42：'分表4-电度输配电价'!$D49,'分表4-电度输配电价'!$E42：'分表4-电度输配电价'!$E49)</f>
      </c>
      <c r="K45" s="36" cm="1">
        <f t="array" ref="K45:K45">_xlfn.XLOOKUP($C$1,'分表4-电度输配电价'!$C42：'分表4-电度输配电价'!$C49&amp;'分表4-电度输配电价'!$D42：'分表4-电度输配电价'!$D49,'分表4-电度输配电价'!$E42：'分表4-电度输配电价'!$E49)</f>
      </c>
      <c r="L45" s="36" cm="1">
        <f t="array" ref="L45:L45">_xlfn.XLOOKUP($C$1,'分表4-电度输配电价'!$C42：'分表4-电度输配电价'!$C49&amp;'分表4-电度输配电价'!$D42：'分表4-电度输配电价'!$D49,'分表4-电度输配电价'!$E42：'分表4-电度输配电价'!$E49)</f>
      </c>
      <c r="M45" s="36" cm="1">
        <f t="array" ref="M45:M45">_xlfn.XLOOKUP($C$1,'分表4-电度输配电价'!$C42：'分表4-电度输配电价'!$C49&amp;'分表4-电度输配电价'!$D42：'分表4-电度输配电价'!$D49,'分表4-电度输配电价'!$E42：'分表4-电度输配电价'!$E49)</f>
      </c>
      <c r="N45" s="36" cm="1">
        <f t="array" ref="N45:N45">_xlfn.XLOOKUP($C$1,'分表4-电度输配电价'!$C42：'分表4-电度输配电价'!$C49&amp;'分表4-电度输配电价'!$D42：'分表4-电度输配电价'!$D49,'分表4-电度输配电价'!$E42：'分表4-电度输配电价'!$E49)</f>
      </c>
      <c r="O45" s="36" cm="1">
        <f t="array" ref="O45:O45">_xlfn.XLOOKUP($C$1,'分表4-电度输配电价'!$C42：'分表4-电度输配电价'!$C49&amp;'分表4-电度输配电价'!$D42：'分表4-电度输配电价'!$D49,'分表4-电度输配电价'!$E42：'分表4-电度输配电价'!$E49)</f>
      </c>
      <c r="P45" s="36">
        <f>IF(SUM(D45:O45)=0,"0",AVERAGEIF(D45:O45,"&lt;&gt;0",D45:O45))</f>
      </c>
      <c r="Q45" s="35"/>
    </row>
    <row customHeight="true" ht="19" r="46">
      <c r="A46" s="34">
        <v>44</v>
      </c>
      <c r="B46" s="31" t="str">
        <v>山西</v>
      </c>
      <c r="C46" s="37" t="str">
        <v>政府性基金及附加</v>
      </c>
      <c r="D46" s="36" cm="1">
        <f t="array" ref="D46:D46">_xlfn.XLOOKUP($B$46,'分表5-政府性基金及附加'!$B$2：'分表5-政府性基金及附加'!$B$199,'分表5-政府性基金及附加'!$D$2：'分表5-政府性基金及附加'!$D$199)</f>
      </c>
      <c r="E46" s="36" cm="1">
        <f t="array" ref="E46:E46">_xlfn.XLOOKUP($B$46,'分表5-政府性基金及附加'!$B$2：'分表5-政府性基金及附加'!$B$199,'分表5-政府性基金及附加'!$D$2：'分表5-政府性基金及附加'!$D$199)</f>
      </c>
      <c r="F46" s="36" cm="1">
        <f t="array" ref="F46:F46">_xlfn.XLOOKUP($B$46,'分表5-政府性基金及附加'!$B$2：'分表5-政府性基金及附加'!$B$199,'分表5-政府性基金及附加'!$D$2：'分表5-政府性基金及附加'!$D$199)</f>
      </c>
      <c r="G46" s="36" cm="1">
        <f t="array" ref="G46:G46">_xlfn.XLOOKUP($B$46,'分表5-政府性基金及附加'!$B$2：'分表5-政府性基金及附加'!$B$199,'分表5-政府性基金及附加'!$D$2：'分表5-政府性基金及附加'!$D$199)</f>
      </c>
      <c r="H46" s="36" cm="1">
        <f t="array" ref="H46:H46">_xlfn.XLOOKUP($B$46,'分表5-政府性基金及附加'!$B$2：'分表5-政府性基金及附加'!$B$199,'分表5-政府性基金及附加'!$D$2：'分表5-政府性基金及附加'!$D$199)</f>
      </c>
      <c r="I46" s="36" cm="1">
        <f t="array" ref="I46:I46">_xlfn.XLOOKUP($B$46,'分表5-政府性基金及附加'!$B$2：'分表5-政府性基金及附加'!$B$199,'分表5-政府性基金及附加'!$D$2：'分表5-政府性基金及附加'!$D$199)</f>
      </c>
      <c r="J46" s="36" cm="1">
        <f t="array" ref="J46:J46">_xlfn.XLOOKUP($B$46,'分表5-政府性基金及附加'!$B$2：'分表5-政府性基金及附加'!$B$199,'分表5-政府性基金及附加'!$D$2：'分表5-政府性基金及附加'!$D$199)</f>
      </c>
      <c r="K46" s="36" cm="1">
        <f t="array" ref="K46:K46">_xlfn.XLOOKUP($B$46,'分表5-政府性基金及附加'!$B$2：'分表5-政府性基金及附加'!$B$199,'分表5-政府性基金及附加'!$D$2：'分表5-政府性基金及附加'!$D$199)</f>
      </c>
      <c r="L46" s="36" cm="1">
        <f t="array" ref="L46:L46">_xlfn.XLOOKUP($B$46,'分表5-政府性基金及附加'!$B$2：'分表5-政府性基金及附加'!$B$199,'分表5-政府性基金及附加'!$D$2：'分表5-政府性基金及附加'!$D$199)</f>
      </c>
      <c r="M46" s="36" cm="1">
        <f t="array" ref="M46:M46">_xlfn.XLOOKUP($B$46,'分表5-政府性基金及附加'!$B$2：'分表5-政府性基金及附加'!$B$199,'分表5-政府性基金及附加'!$D$2：'分表5-政府性基金及附加'!$D$199)</f>
      </c>
      <c r="N46" s="36" cm="1">
        <f t="array" ref="N46:N46">_xlfn.XLOOKUP($B$46,'分表5-政府性基金及附加'!$B$2：'分表5-政府性基金及附加'!$B$199,'分表5-政府性基金及附加'!$D$2：'分表5-政府性基金及附加'!$D$199)</f>
      </c>
      <c r="O46" s="36" cm="1">
        <f t="array" ref="O46:O46">_xlfn.XLOOKUP($B$46,'分表5-政府性基金及附加'!$B$2：'分表5-政府性基金及附加'!$B$199,'分表5-政府性基金及附加'!$D$2：'分表5-政府性基金及附加'!$D$199)</f>
      </c>
      <c r="P46" s="36">
        <f>IF(SUM(D46:O46)=0,"0",AVERAGEIF(D46:O46,"&lt;&gt;0",D46:O46))</f>
      </c>
      <c r="Q46" s="35"/>
    </row>
    <row customHeight="true" ht="19" r="47">
      <c r="A47" s="34">
        <v>45</v>
      </c>
      <c r="B47" s="31" t="str">
        <v>山西</v>
      </c>
      <c r="C47" s="37" t="str">
        <v>系统运行费折价</v>
      </c>
      <c r="D47" s="32">
        <f>'分表8-2025三类细分价'!D112</f>
      </c>
      <c r="E47" s="32">
        <f>'分表8-2025三类细分价'!E112</f>
      </c>
      <c r="F47" s="32">
        <f>'分表8-2025三类细分价'!F112</f>
      </c>
      <c r="G47" s="32">
        <f>'分表8-2025三类细分价'!G112</f>
      </c>
      <c r="H47" s="32">
        <f>'分表8-2025三类细分价'!H112</f>
      </c>
      <c r="I47" s="32">
        <f>'分表8-2025三类细分价'!I112</f>
      </c>
      <c r="J47" s="32">
        <f>'分表8-2025三类细分价'!J112</f>
      </c>
      <c r="K47" s="32">
        <f>'分表8-2025三类细分价'!K112</f>
      </c>
      <c r="L47" s="32">
        <f>'分表8-2025三类细分价'!L112</f>
      </c>
      <c r="M47" s="32">
        <f>'分表8-2025三类细分价'!M112</f>
      </c>
      <c r="N47" s="32">
        <f>'分表8-2025三类细分价'!N112</f>
      </c>
      <c r="O47" s="32">
        <f>'分表8-2025三类细分价'!O112</f>
      </c>
      <c r="P47" s="36">
        <f>IF(SUM(D47:O47)=0,"0",AVERAGEIF(D47:O47,"&lt;&gt;0",D47:O47))</f>
      </c>
      <c r="Q47" s="35"/>
    </row>
    <row customHeight="true" ht="19" r="48">
      <c r="A48" s="34">
        <v>46</v>
      </c>
      <c r="B48" s="31" t="str">
        <v>山西</v>
      </c>
      <c r="C48" s="37" t="str">
        <v>综合平段电价--电网代购</v>
      </c>
      <c r="D48" s="36">
        <f>IF(D45="/","/",SUM(D43:D47))</f>
      </c>
      <c r="E48" s="36">
        <f>IF(E45="/","/",SUM(E43:E47))</f>
      </c>
      <c r="F48" s="36">
        <f>IF(F45="/","/",SUM(F43:F47))</f>
      </c>
      <c r="G48" s="36">
        <f>IF(G45="/","/",SUM(G43:G47))</f>
      </c>
      <c r="H48" s="36">
        <f>IF(H45="/","/",SUM(H43:H47))</f>
      </c>
      <c r="I48" s="36">
        <f>IF(I45="/","/",SUM(I43:I47))</f>
      </c>
      <c r="J48" s="36">
        <f>IF(J45="/","/",SUM(J43:J47))</f>
      </c>
      <c r="K48" s="36">
        <f>IF(K45="/","/",SUM(K43:K47))</f>
      </c>
      <c r="L48" s="36">
        <f>IF(L45="/","/",SUM(L43:L47))</f>
      </c>
      <c r="M48" s="36">
        <f>IF(M45="/","/",SUM(M43:M47))</f>
      </c>
      <c r="N48" s="36">
        <f>IF(N45="/","/",SUM(N43:N47))</f>
      </c>
      <c r="O48" s="36">
        <f>IF(O45="/","/",SUM(O43:O47))</f>
      </c>
      <c r="P48" s="36">
        <f>IF(SUM(D48:O48)=0,"0",AVERAGEIF(D48:O48,"&lt;&gt;0",D48:O48))</f>
      </c>
      <c r="Q48" s="35"/>
    </row>
    <row customHeight="true" ht="19" r="49">
      <c r="A49" s="34">
        <v>47</v>
      </c>
      <c r="B49" s="31" t="str">
        <v>山西</v>
      </c>
      <c r="C49" s="37" t="str">
        <v>入市交易购电价格</v>
      </c>
      <c r="D49" s="32">
        <f>'分表9-2025交易价格'!D7</f>
      </c>
      <c r="E49" s="32">
        <f>'分表9-2025交易价格'!E7</f>
      </c>
      <c r="F49" s="32">
        <f>'分表9-2025交易价格'!F7</f>
      </c>
      <c r="G49" s="32">
        <f>'分表9-2025交易价格'!G7</f>
      </c>
      <c r="H49" s="32">
        <f>'分表9-2025交易价格'!H7</f>
      </c>
      <c r="I49" s="32">
        <f>'分表9-2025交易价格'!I7</f>
      </c>
      <c r="J49" s="32">
        <f>'分表9-2025交易价格'!J7</f>
      </c>
      <c r="K49" s="32">
        <f>'分表9-2025交易价格'!K7</f>
      </c>
      <c r="L49" s="32">
        <f>'分表9-2025交易价格'!L7</f>
      </c>
      <c r="M49" s="32">
        <f>'分表9-2025交易价格'!M7</f>
      </c>
      <c r="N49" s="32">
        <f>'分表9-2025交易价格'!N7</f>
      </c>
      <c r="O49" s="32">
        <f>'分表9-2025交易价格'!O7</f>
      </c>
      <c r="P49" s="36">
        <f>IF(SUM(D49:O49)=0,"0",AVERAGEIF(D49:O49,"&lt;&gt;0",D49:O49))</f>
      </c>
      <c r="Q49" s="35"/>
    </row>
    <row customHeight="true" ht="19" r="50">
      <c r="A50" s="34">
        <v>48</v>
      </c>
      <c r="B50" s="31" t="str">
        <v>山西</v>
      </c>
      <c r="C50" s="37" t="str">
        <v>综合平段电价--入市交易</v>
      </c>
      <c r="D50" s="36">
        <f>IF(D45="/","/",IF(D49&gt;0,D49+SUM(D44:D47),"/"))</f>
      </c>
      <c r="E50" s="36">
        <f>IF(E45="/","/",IF(E49&gt;0,E49+SUM(E44:E47),"/"))</f>
      </c>
      <c r="F50" s="36">
        <f>IF(F45="/","/",IF(F49&gt;0,F49+SUM(F44:F47),"/"))</f>
      </c>
      <c r="G50" s="36">
        <f>IF(G45="/","/",IF(G49&gt;0,G49+SUM(G44:G47),"/"))</f>
      </c>
      <c r="H50" s="36">
        <f>IF(H45="/","/",IF(H49&gt;0,H49+SUM(H44:H47),"/"))</f>
      </c>
      <c r="I50" s="36">
        <f>IF(I45="/","/",IF(I49&gt;0,I49+SUM(I44:I47),"/"))</f>
      </c>
      <c r="J50" s="36">
        <f>IF(J45="/","/",IF(J49&gt;0,J49+SUM(J44:J47),"/"))</f>
      </c>
      <c r="K50" s="36">
        <f>IF(K45="/","/",IF(K49&gt;0,K49+SUM(K44:K47),"/"))</f>
      </c>
      <c r="L50" s="36">
        <f>IF(L45="/","/",IF(L49&gt;0,L49+SUM(L44:L47),"/"))</f>
      </c>
      <c r="M50" s="36">
        <f>IF(M45="/","/",IF(M49&gt;0,M49+SUM(M44:M47),"/"))</f>
      </c>
      <c r="N50" s="36">
        <f>IF(N45="/","/",IF(N49&gt;0,N49+SUM(N44:N47),"/"))</f>
      </c>
      <c r="O50" s="36">
        <f>IF(O45="/","/",IF(O49&gt;0,O49+SUM(O44:O47),"/"))</f>
      </c>
      <c r="P50" s="36">
        <f>IF(SUM(D50:O50)=0,"0",AVERAGEIF(D50:O50,"&lt;&gt;0",D50:O50))</f>
      </c>
      <c r="Q50" s="35"/>
    </row>
    <row customHeight="true" ht="19" r="51">
      <c r="A51" s="34">
        <v>49</v>
      </c>
      <c r="B51" s="40" t="str">
        <v>蒙西</v>
      </c>
      <c r="C51" s="39" t="str">
        <v>代理购电价格</v>
      </c>
      <c r="D51" s="34">
        <f>'分表8-2025三类细分价'!D129</f>
      </c>
      <c r="E51" s="34">
        <f>'分表8-2025三类细分价'!E129</f>
      </c>
      <c r="F51" s="34">
        <f>'分表8-2025三类细分价'!F129</f>
      </c>
      <c r="G51" s="34">
        <f>'分表8-2025三类细分价'!G129</f>
      </c>
      <c r="H51" s="34">
        <f>'分表8-2025三类细分价'!H129</f>
      </c>
      <c r="I51" s="34">
        <f>'分表8-2025三类细分价'!I129</f>
      </c>
      <c r="J51" s="34">
        <f>'分表8-2025三类细分价'!J129</f>
      </c>
      <c r="K51" s="34">
        <f>'分表8-2025三类细分价'!K129</f>
      </c>
      <c r="L51" s="34">
        <f>'分表8-2025三类细分价'!L129</f>
      </c>
      <c r="M51" s="34">
        <f>'分表8-2025三类细分价'!M129</f>
      </c>
      <c r="N51" s="34">
        <f>'分表8-2025三类细分价'!N129</f>
      </c>
      <c r="O51" s="34">
        <f>'分表8-2025三类细分价'!O129</f>
      </c>
      <c r="P51" s="34">
        <f>IF(SUM(D51:O51)=0,"0",AVERAGEIF(D51:O51,"&lt;&gt;0",D51:O51))</f>
      </c>
      <c r="Q51" s="38"/>
    </row>
    <row customHeight="true" ht="19" r="52">
      <c r="A52" s="34">
        <v>50</v>
      </c>
      <c r="B52" s="40" t="str">
        <v>蒙西</v>
      </c>
      <c r="C52" s="39" t="str">
        <v>上网环节线损电价</v>
      </c>
      <c r="D52" s="34">
        <f>'分表8-2025三类细分价'!D132</f>
      </c>
      <c r="E52" s="34">
        <f>'分表8-2025三类细分价'!E132</f>
      </c>
      <c r="F52" s="34">
        <f>'分表8-2025三类细分价'!F132</f>
      </c>
      <c r="G52" s="34">
        <f>'分表8-2025三类细分价'!G132</f>
      </c>
      <c r="H52" s="34">
        <f>'分表8-2025三类细分价'!H132</f>
      </c>
      <c r="I52" s="34">
        <f>'分表8-2025三类细分价'!I132</f>
      </c>
      <c r="J52" s="34">
        <f>'分表8-2025三类细分价'!J132</f>
      </c>
      <c r="K52" s="34">
        <f>'分表8-2025三类细分价'!K132</f>
      </c>
      <c r="L52" s="34">
        <f>'分表8-2025三类细分价'!L132</f>
      </c>
      <c r="M52" s="34">
        <f>'分表8-2025三类细分价'!M132</f>
      </c>
      <c r="N52" s="34">
        <f>'分表8-2025三类细分价'!N132</f>
      </c>
      <c r="O52" s="34">
        <f>'分表8-2025三类细分价'!O132</f>
      </c>
      <c r="P52" s="34">
        <f>IF(SUM(D52:O52)=0,"0",AVERAGEIF(D52:O52,"&lt;&gt;0",D52:O52))</f>
      </c>
      <c r="Q52" s="38"/>
    </row>
    <row customHeight="true" ht="19" r="53">
      <c r="A53" s="34">
        <v>51</v>
      </c>
      <c r="B53" s="40" t="str">
        <v>蒙西</v>
      </c>
      <c r="C53" s="39" t="str">
        <v>电度输配电价</v>
      </c>
      <c r="D53" s="34" cm="1">
        <f t="array" ref="D53:D53">_xlfn.XLOOKUP($C$1,'分表4-电度输配电价'!$C50：'分表4-电度输配电价'!$C57&amp;'分表4-电度输配电价'!$D50：'分表4-电度输配电价'!$D57,'分表4-电度输配电价'!$E50：'分表4-电度输配电价'!$E57)</f>
      </c>
      <c r="E53" s="34" cm="1">
        <f t="array" ref="E53:E53">_xlfn.XLOOKUP($C$1,'分表4-电度输配电价'!$C50：'分表4-电度输配电价'!$C57&amp;'分表4-电度输配电价'!$D50：'分表4-电度输配电价'!$D57,'分表4-电度输配电价'!$E50：'分表4-电度输配电价'!$E57)</f>
      </c>
      <c r="F53" s="34" cm="1">
        <f t="array" ref="F53:F53">_xlfn.XLOOKUP($C$1,'分表4-电度输配电价'!$C50：'分表4-电度输配电价'!$C57&amp;'分表4-电度输配电价'!$D50：'分表4-电度输配电价'!$D57,'分表4-电度输配电价'!$E50：'分表4-电度输配电价'!$E57)</f>
      </c>
      <c r="G53" s="34" cm="1">
        <f t="array" ref="G53:G53">_xlfn.XLOOKUP($C$1,'分表4-电度输配电价'!$C50：'分表4-电度输配电价'!$C57&amp;'分表4-电度输配电价'!$D50：'分表4-电度输配电价'!$D57,'分表4-电度输配电价'!$E50：'分表4-电度输配电价'!$E57)</f>
      </c>
      <c r="H53" s="34" cm="1">
        <f t="array" ref="H53:H53">_xlfn.XLOOKUP($C$1,'分表4-电度输配电价'!$C50：'分表4-电度输配电价'!$C57&amp;'分表4-电度输配电价'!$D50：'分表4-电度输配电价'!$D57,'分表4-电度输配电价'!$E50：'分表4-电度输配电价'!$E57)</f>
      </c>
      <c r="I53" s="34" cm="1">
        <f t="array" ref="I53:I53">_xlfn.XLOOKUP($C$1,'分表4-电度输配电价'!$C50：'分表4-电度输配电价'!$C57&amp;'分表4-电度输配电价'!$D50：'分表4-电度输配电价'!$D57,'分表4-电度输配电价'!$E50：'分表4-电度输配电价'!$E57)</f>
      </c>
      <c r="J53" s="34" cm="1">
        <f t="array" ref="J53:J53">_xlfn.XLOOKUP($C$1,'分表4-电度输配电价'!$C50：'分表4-电度输配电价'!$C57&amp;'分表4-电度输配电价'!$D50：'分表4-电度输配电价'!$D57,'分表4-电度输配电价'!$E50：'分表4-电度输配电价'!$E57)</f>
      </c>
      <c r="K53" s="34" cm="1">
        <f t="array" ref="K53:K53">_xlfn.XLOOKUP($C$1,'分表4-电度输配电价'!$C50：'分表4-电度输配电价'!$C57&amp;'分表4-电度输配电价'!$D50：'分表4-电度输配电价'!$D57,'分表4-电度输配电价'!$E50：'分表4-电度输配电价'!$E57)</f>
      </c>
      <c r="L53" s="34" cm="1">
        <f t="array" ref="L53:L53">_xlfn.XLOOKUP($C$1,'分表4-电度输配电价'!$C50：'分表4-电度输配电价'!$C57&amp;'分表4-电度输配电价'!$D50：'分表4-电度输配电价'!$D57,'分表4-电度输配电价'!$E50：'分表4-电度输配电价'!$E57)</f>
      </c>
      <c r="M53" s="34" cm="1">
        <f t="array" ref="M53:M53">_xlfn.XLOOKUP($C$1,'分表4-电度输配电价'!$C50：'分表4-电度输配电价'!$C57&amp;'分表4-电度输配电价'!$D50：'分表4-电度输配电价'!$D57,'分表4-电度输配电价'!$E50：'分表4-电度输配电价'!$E57)</f>
      </c>
      <c r="N53" s="34" cm="1">
        <f t="array" ref="N53:N53">_xlfn.XLOOKUP($C$1,'分表4-电度输配电价'!$C50：'分表4-电度输配电价'!$C57&amp;'分表4-电度输配电价'!$D50：'分表4-电度输配电价'!$D57,'分表4-电度输配电价'!$E50：'分表4-电度输配电价'!$E57)</f>
      </c>
      <c r="O53" s="34" cm="1">
        <f t="array" ref="O53:O53">_xlfn.XLOOKUP($C$1,'分表4-电度输配电价'!$C50：'分表4-电度输配电价'!$C57&amp;'分表4-电度输配电价'!$D50：'分表4-电度输配电价'!$D57,'分表4-电度输配电价'!$E50：'分表4-电度输配电价'!$E57)</f>
      </c>
      <c r="P53" s="34">
        <f>IF(SUM(D53:O53)=0,"0",AVERAGEIF(D53:O53,"&lt;&gt;0",D53:O53))</f>
      </c>
      <c r="Q53" s="38"/>
    </row>
    <row customHeight="true" ht="19" r="54">
      <c r="A54" s="34">
        <v>52</v>
      </c>
      <c r="B54" s="40" t="str">
        <v>蒙西</v>
      </c>
      <c r="C54" s="39" t="str">
        <v>政府性基金及附加</v>
      </c>
      <c r="D54" s="34" cm="1">
        <f t="array" ref="D54:D54">_xlfn.XLOOKUP($B$54,'分表5-政府性基金及附加'!$B$2：'分表5-政府性基金及附加'!$B$199,'分表5-政府性基金及附加'!$D$2：'分表5-政府性基金及附加'!$D$199)</f>
      </c>
      <c r="E54" s="34" cm="1">
        <f t="array" ref="E54:E54">_xlfn.XLOOKUP($B$54,'分表5-政府性基金及附加'!$B$2：'分表5-政府性基金及附加'!$B$199,'分表5-政府性基金及附加'!$D$2：'分表5-政府性基金及附加'!$D$199)</f>
      </c>
      <c r="F54" s="34" cm="1">
        <f t="array" ref="F54:F54">_xlfn.XLOOKUP($B$54,'分表5-政府性基金及附加'!$B$2：'分表5-政府性基金及附加'!$B$199,'分表5-政府性基金及附加'!$D$2：'分表5-政府性基金及附加'!$D$199)</f>
      </c>
      <c r="G54" s="34" cm="1">
        <f t="array" ref="G54:G54">_xlfn.XLOOKUP($B$54,'分表5-政府性基金及附加'!$B$2：'分表5-政府性基金及附加'!$B$199,'分表5-政府性基金及附加'!$D$2：'分表5-政府性基金及附加'!$D$199)</f>
      </c>
      <c r="H54" s="34" cm="1">
        <f t="array" ref="H54:H54">_xlfn.XLOOKUP($B$54,'分表5-政府性基金及附加'!$B$2：'分表5-政府性基金及附加'!$B$199,'分表5-政府性基金及附加'!$D$2：'分表5-政府性基金及附加'!$D$199)</f>
      </c>
      <c r="I54" s="34" cm="1">
        <f t="array" ref="I54:I54">_xlfn.XLOOKUP($B$54,'分表5-政府性基金及附加'!$B$2：'分表5-政府性基金及附加'!$B$199,'分表5-政府性基金及附加'!$D$2：'分表5-政府性基金及附加'!$D$199)</f>
      </c>
      <c r="J54" s="34" cm="1">
        <f t="array" ref="J54:J54">_xlfn.XLOOKUP($B$54,'分表5-政府性基金及附加'!$B$2：'分表5-政府性基金及附加'!$B$199,'分表5-政府性基金及附加'!$D$2：'分表5-政府性基金及附加'!$D$199)</f>
      </c>
      <c r="K54" s="34" cm="1">
        <f t="array" ref="K54:K54">_xlfn.XLOOKUP($B$54,'分表5-政府性基金及附加'!$B$2：'分表5-政府性基金及附加'!$B$199,'分表5-政府性基金及附加'!$D$2：'分表5-政府性基金及附加'!$D$199)</f>
      </c>
      <c r="L54" s="34" cm="1">
        <f t="array" ref="L54:L54">_xlfn.XLOOKUP($B$54,'分表5-政府性基金及附加'!$B$2：'分表5-政府性基金及附加'!$B$199,'分表5-政府性基金及附加'!$D$2：'分表5-政府性基金及附加'!$D$199)</f>
      </c>
      <c r="M54" s="34" cm="1">
        <f t="array" ref="M54:M54">_xlfn.XLOOKUP($B$54,'分表5-政府性基金及附加'!$B$2：'分表5-政府性基金及附加'!$B$199,'分表5-政府性基金及附加'!$D$2：'分表5-政府性基金及附加'!$D$199)</f>
      </c>
      <c r="N54" s="34" cm="1">
        <f t="array" ref="N54:N54">_xlfn.XLOOKUP($B$54,'分表5-政府性基金及附加'!$B$2：'分表5-政府性基金及附加'!$B$199,'分表5-政府性基金及附加'!$D$2：'分表5-政府性基金及附加'!$D$199)</f>
      </c>
      <c r="O54" s="34" cm="1">
        <f t="array" ref="O54:O54">_xlfn.XLOOKUP($B$54,'分表5-政府性基金及附加'!$B$2：'分表5-政府性基金及附加'!$B$199,'分表5-政府性基金及附加'!$D$2：'分表5-政府性基金及附加'!$D$199)</f>
      </c>
      <c r="P54" s="34">
        <f>IF(SUM(D54:O54)=0,"0",AVERAGEIF(D54:O54,"&lt;&gt;0",D54:O54))</f>
      </c>
      <c r="Q54" s="38"/>
    </row>
    <row customHeight="true" ht="19" r="55">
      <c r="A55" s="34">
        <v>53</v>
      </c>
      <c r="B55" s="40" t="str">
        <v>蒙西</v>
      </c>
      <c r="C55" s="39" t="str">
        <v>系统运行费折价</v>
      </c>
      <c r="D55" s="34">
        <f>'分表8-2025三类细分价'!D133</f>
      </c>
      <c r="E55" s="34">
        <f>'分表8-2025三类细分价'!E133</f>
      </c>
      <c r="F55" s="34">
        <f>'分表8-2025三类细分价'!F133</f>
      </c>
      <c r="G55" s="34">
        <f>'分表8-2025三类细分价'!G133</f>
      </c>
      <c r="H55" s="34">
        <f>'分表8-2025三类细分价'!H133</f>
      </c>
      <c r="I55" s="34">
        <f>'分表8-2025三类细分价'!I133</f>
      </c>
      <c r="J55" s="34">
        <f>'分表8-2025三类细分价'!J133</f>
      </c>
      <c r="K55" s="34">
        <f>'分表8-2025三类细分价'!K133</f>
      </c>
      <c r="L55" s="34">
        <f>'分表8-2025三类细分价'!L133</f>
      </c>
      <c r="M55" s="34">
        <f>'分表8-2025三类细分价'!M133</f>
      </c>
      <c r="N55" s="34">
        <f>'分表8-2025三类细分价'!N133</f>
      </c>
      <c r="O55" s="34">
        <f>'分表8-2025三类细分价'!O133</f>
      </c>
      <c r="P55" s="34">
        <f>IF(SUM(D55:O55)=0,"0",AVERAGEIF(D55:O55,"&lt;&gt;0",D55:O55))</f>
      </c>
      <c r="Q55" s="38"/>
    </row>
    <row customHeight="true" ht="19" r="56">
      <c r="A56" s="34">
        <v>54</v>
      </c>
      <c r="B56" s="40" t="str">
        <v>蒙西</v>
      </c>
      <c r="C56" s="39" t="str">
        <v>综合平段电价--电网代购</v>
      </c>
      <c r="D56" s="34">
        <f>IF(D53="/","/",SUM(D51:D55))</f>
      </c>
      <c r="E56" s="34">
        <f>IF(E53="/","/",SUM(E51:E55))</f>
      </c>
      <c r="F56" s="34">
        <f>IF(F53="/","/",SUM(F51:F55))</f>
      </c>
      <c r="G56" s="34">
        <f>IF(G53="/","/",SUM(G51:G55))</f>
      </c>
      <c r="H56" s="34">
        <f>IF(H53="/","/",SUM(H51:H55))</f>
      </c>
      <c r="I56" s="34">
        <f>IF(I53="/","/",SUM(I51:I55))</f>
      </c>
      <c r="J56" s="34">
        <f>IF(J53="/","/",SUM(J51:J55))</f>
      </c>
      <c r="K56" s="34">
        <f>IF(K53="/","/",SUM(K51:K55))</f>
      </c>
      <c r="L56" s="34">
        <f>IF(L53="/","/",SUM(L51:L55))</f>
      </c>
      <c r="M56" s="34">
        <f>IF(M53="/","/",SUM(M51:M55))</f>
      </c>
      <c r="N56" s="34">
        <f>IF(N53="/","/",SUM(N51:N55))</f>
      </c>
      <c r="O56" s="34">
        <f>IF(O53="/","/",SUM(O51:O55))</f>
      </c>
      <c r="P56" s="34">
        <f>IF(SUM(D56:O56)=0,"0",AVERAGEIF(D56:O56,"&lt;&gt;0",D56:O56))</f>
      </c>
      <c r="Q56" s="38"/>
    </row>
    <row customHeight="true" ht="19" r="57">
      <c r="A57" s="34">
        <v>55</v>
      </c>
      <c r="B57" s="40" t="str">
        <v>蒙西</v>
      </c>
      <c r="C57" s="39" t="str">
        <v>入市交易购电价格</v>
      </c>
      <c r="D57" s="34">
        <f>'分表9-2025交易价格'!D8</f>
      </c>
      <c r="E57" s="34">
        <f>'分表9-2025交易价格'!E8</f>
      </c>
      <c r="F57" s="34">
        <f>'分表9-2025交易价格'!F8</f>
      </c>
      <c r="G57" s="34">
        <f>'分表9-2025交易价格'!G8</f>
      </c>
      <c r="H57" s="34">
        <f>'分表9-2025交易价格'!H8</f>
      </c>
      <c r="I57" s="34">
        <f>'分表9-2025交易价格'!I8</f>
      </c>
      <c r="J57" s="34">
        <f>'分表9-2025交易价格'!J8</f>
      </c>
      <c r="K57" s="34">
        <f>'分表9-2025交易价格'!K8</f>
      </c>
      <c r="L57" s="34">
        <f>'分表9-2025交易价格'!L8</f>
      </c>
      <c r="M57" s="34">
        <f>'分表9-2025交易价格'!M8</f>
      </c>
      <c r="N57" s="34">
        <f>'分表9-2025交易价格'!N8</f>
      </c>
      <c r="O57" s="34">
        <f>'分表9-2025交易价格'!O8</f>
      </c>
      <c r="P57" s="34">
        <f>IF(SUM(D57:O57)=0,"0",AVERAGEIF(D57:O57,"&lt;&gt;0",D57:O57))</f>
      </c>
      <c r="Q57" s="38"/>
    </row>
    <row customHeight="true" ht="19" r="58">
      <c r="A58" s="34">
        <v>56</v>
      </c>
      <c r="B58" s="40" t="str">
        <v>蒙西</v>
      </c>
      <c r="C58" s="39" t="str">
        <v>综合平段电价--入市交易</v>
      </c>
      <c r="D58" s="34">
        <f>IF(D53="/","/",IF(D57&gt;0,D57+SUM(D52:D55),"/"))</f>
      </c>
      <c r="E58" s="34">
        <f>IF(E53="/","/",IF(E57&gt;0,E57+SUM(E52:E55),"/"))</f>
      </c>
      <c r="F58" s="34">
        <f>IF(F53="/","/",IF(F57&gt;0,F57+SUM(F52:F55),"/"))</f>
      </c>
      <c r="G58" s="34">
        <f>IF(G53="/","/",IF(G57&gt;0,G57+SUM(G52:G55),"/"))</f>
      </c>
      <c r="H58" s="34">
        <f>IF(H53="/","/",IF(H57&gt;0,H57+SUM(H52:H55),"/"))</f>
      </c>
      <c r="I58" s="34">
        <f>IF(I53="/","/",IF(I57&gt;0,I57+SUM(I52:I55),"/"))</f>
      </c>
      <c r="J58" s="34">
        <f>IF(J53="/","/",IF(J57&gt;0,J57+SUM(J52:J55),"/"))</f>
      </c>
      <c r="K58" s="34">
        <f>IF(K53="/","/",IF(K57&gt;0,K57+SUM(K52:K55),"/"))</f>
      </c>
      <c r="L58" s="34">
        <f>IF(L53="/","/",IF(L57&gt;0,L57+SUM(L52:L55),"/"))</f>
      </c>
      <c r="M58" s="34">
        <f>IF(M53="/","/",IF(M57&gt;0,M57+SUM(M52:M55),"/"))</f>
      </c>
      <c r="N58" s="34">
        <f>IF(N53="/","/",IF(N57&gt;0,N57+SUM(N52:N55),"/"))</f>
      </c>
      <c r="O58" s="34">
        <f>IF(O53="/","/",IF(O57&gt;0,O57+SUM(O52:O55),"/"))</f>
      </c>
      <c r="P58" s="34">
        <f>IF(SUM(D58:O58)=0,"0",AVERAGEIF(D58:O58,"&lt;&gt;0",D58:O58))</f>
      </c>
      <c r="Q58" s="38"/>
    </row>
    <row customHeight="true" ht="19" r="59">
      <c r="A59" s="34">
        <v>57</v>
      </c>
      <c r="B59" s="31" t="str">
        <v>上海</v>
      </c>
      <c r="C59" s="37" t="str">
        <v>代理购电价格</v>
      </c>
      <c r="D59" s="36">
        <f>'分表8-2025三类细分价'!D150</f>
      </c>
      <c r="E59" s="36">
        <f>'分表8-2025三类细分价'!E150</f>
      </c>
      <c r="F59" s="36">
        <f>'分表8-2025三类细分价'!F150</f>
      </c>
      <c r="G59" s="36">
        <f>'分表8-2025三类细分价'!G150</f>
      </c>
      <c r="H59" s="36">
        <f>'分表8-2025三类细分价'!H150</f>
      </c>
      <c r="I59" s="36">
        <f>'分表8-2025三类细分价'!I150</f>
      </c>
      <c r="J59" s="36">
        <f>'分表8-2025三类细分价'!J150</f>
      </c>
      <c r="K59" s="36">
        <f>'分表8-2025三类细分价'!K150</f>
      </c>
      <c r="L59" s="36">
        <f>'分表8-2025三类细分价'!L150</f>
      </c>
      <c r="M59" s="36">
        <f>'分表8-2025三类细分价'!M150</f>
      </c>
      <c r="N59" s="36">
        <f>'分表8-2025三类细分价'!N150</f>
      </c>
      <c r="O59" s="36">
        <f>'分表8-2025三类细分价'!O150</f>
      </c>
      <c r="P59" s="36">
        <f>IF(SUM(D59:O59)=0,"0",AVERAGEIF(D59:O59,"&lt;&gt;0",D59:O59))</f>
      </c>
      <c r="Q59" s="35"/>
    </row>
    <row customHeight="true" ht="19" r="60">
      <c r="A60" s="34">
        <v>58</v>
      </c>
      <c r="B60" s="31" t="str">
        <v>上海</v>
      </c>
      <c r="C60" s="37" t="str">
        <v>上网环节线损电价</v>
      </c>
      <c r="D60" s="32">
        <f>'分表8-2025三类细分价'!D153</f>
      </c>
      <c r="E60" s="32">
        <f>'分表8-2025三类细分价'!E153</f>
      </c>
      <c r="F60" s="32">
        <f>'分表8-2025三类细分价'!F153</f>
      </c>
      <c r="G60" s="32">
        <f>'分表8-2025三类细分价'!G153</f>
      </c>
      <c r="H60" s="32">
        <f>'分表8-2025三类细分价'!H153</f>
      </c>
      <c r="I60" s="32">
        <f>'分表8-2025三类细分价'!I153</f>
      </c>
      <c r="J60" s="32">
        <f>'分表8-2025三类细分价'!J153</f>
      </c>
      <c r="K60" s="32">
        <f>'分表8-2025三类细分价'!K153</f>
      </c>
      <c r="L60" s="32">
        <f>'分表8-2025三类细分价'!L153</f>
      </c>
      <c r="M60" s="32">
        <f>'分表8-2025三类细分价'!M153</f>
      </c>
      <c r="N60" s="32">
        <f>'分表8-2025三类细分价'!N153</f>
      </c>
      <c r="O60" s="32">
        <f>'分表8-2025三类细分价'!O153</f>
      </c>
      <c r="P60" s="36">
        <f>IF(SUM(D60:O60)=0,"0",AVERAGEIF(D60:O60,"&lt;&gt;0",D60:O60))</f>
      </c>
      <c r="Q60" s="35"/>
    </row>
    <row customHeight="true" ht="19" r="61">
      <c r="A61" s="34">
        <v>59</v>
      </c>
      <c r="B61" s="31" t="str">
        <v>上海</v>
      </c>
      <c r="C61" s="37" t="str">
        <v>电度输配电价</v>
      </c>
      <c r="D61" s="36" cm="1">
        <f t="array" ref="D61:D61">_xlfn.XLOOKUP($C$1,'分表4-电度输配电价'!$C58：'分表4-电度输配电价'!$C65&amp;'分表4-电度输配电价'!$D58：'分表4-电度输配电价'!$D65,'分表4-电度输配电价'!$E58：'分表4-电度输配电价'!$E65)</f>
      </c>
      <c r="E61" s="36" cm="1">
        <f t="array" ref="E61:E61">_xlfn.XLOOKUP($C$1,'分表4-电度输配电价'!$C58：'分表4-电度输配电价'!$C65&amp;'分表4-电度输配电价'!$D58：'分表4-电度输配电价'!$D65,'分表4-电度输配电价'!$E58：'分表4-电度输配电价'!$E65)</f>
      </c>
      <c r="F61" s="36" cm="1">
        <f t="array" ref="F61:F61">_xlfn.XLOOKUP($C$1,'分表4-电度输配电价'!$C58：'分表4-电度输配电价'!$C65&amp;'分表4-电度输配电价'!$D58：'分表4-电度输配电价'!$D65,'分表4-电度输配电价'!$E58：'分表4-电度输配电价'!$E65)</f>
      </c>
      <c r="G61" s="36" cm="1">
        <f t="array" ref="G61:G61">_xlfn.XLOOKUP($C$1,'分表4-电度输配电价'!$C58：'分表4-电度输配电价'!$C65&amp;'分表4-电度输配电价'!$D58：'分表4-电度输配电价'!$D65,'分表4-电度输配电价'!$E58：'分表4-电度输配电价'!$E65)</f>
      </c>
      <c r="H61" s="36" cm="1">
        <f t="array" ref="H61:H61">_xlfn.XLOOKUP($C$1,'分表4-电度输配电价'!$C58：'分表4-电度输配电价'!$C65&amp;'分表4-电度输配电价'!$D58：'分表4-电度输配电价'!$D65,'分表4-电度输配电价'!$E58：'分表4-电度输配电价'!$E65)</f>
      </c>
      <c r="I61" s="36" cm="1">
        <f t="array" ref="I61:I61">_xlfn.XLOOKUP($C$1,'分表4-电度输配电价'!$C58：'分表4-电度输配电价'!$C65&amp;'分表4-电度输配电价'!$D58：'分表4-电度输配电价'!$D65,'分表4-电度输配电价'!$E58：'分表4-电度输配电价'!$E65)</f>
      </c>
      <c r="J61" s="36" cm="1">
        <f t="array" ref="J61:J61">_xlfn.XLOOKUP($C$1,'分表4-电度输配电价'!$C58：'分表4-电度输配电价'!$C65&amp;'分表4-电度输配电价'!$D58：'分表4-电度输配电价'!$D65,'分表4-电度输配电价'!$E58：'分表4-电度输配电价'!$E65)</f>
      </c>
      <c r="K61" s="36" cm="1">
        <f t="array" ref="K61:K61">_xlfn.XLOOKUP($C$1,'分表4-电度输配电价'!$C58：'分表4-电度输配电价'!$C65&amp;'分表4-电度输配电价'!$D58：'分表4-电度输配电价'!$D65,'分表4-电度输配电价'!$E58：'分表4-电度输配电价'!$E65)</f>
      </c>
      <c r="L61" s="36" cm="1">
        <f t="array" ref="L61:L61">_xlfn.XLOOKUP($C$1,'分表4-电度输配电价'!$C58：'分表4-电度输配电价'!$C65&amp;'分表4-电度输配电价'!$D58：'分表4-电度输配电价'!$D65,'分表4-电度输配电价'!$E58：'分表4-电度输配电价'!$E65)</f>
      </c>
      <c r="M61" s="36" cm="1">
        <f t="array" ref="M61:M61">_xlfn.XLOOKUP($C$1,'分表4-电度输配电价'!$C58：'分表4-电度输配电价'!$C65&amp;'分表4-电度输配电价'!$D58：'分表4-电度输配电价'!$D65,'分表4-电度输配电价'!$E58：'分表4-电度输配电价'!$E65)</f>
      </c>
      <c r="N61" s="36" cm="1">
        <f t="array" ref="N61:N61">_xlfn.XLOOKUP($C$1,'分表4-电度输配电价'!$C58：'分表4-电度输配电价'!$C65&amp;'分表4-电度输配电价'!$D58：'分表4-电度输配电价'!$D65,'分表4-电度输配电价'!$E58：'分表4-电度输配电价'!$E65)</f>
      </c>
      <c r="O61" s="36" cm="1">
        <f t="array" ref="O61:O61">_xlfn.XLOOKUP($C$1,'分表4-电度输配电价'!$C58：'分表4-电度输配电价'!$C65&amp;'分表4-电度输配电价'!$D58：'分表4-电度输配电价'!$D65,'分表4-电度输配电价'!$E58：'分表4-电度输配电价'!$E65)</f>
      </c>
      <c r="P61" s="36">
        <f>IF(SUM(D61:O61)=0,"0",AVERAGEIF(D61:O61,"&lt;&gt;0",D61:O61))</f>
      </c>
      <c r="Q61" s="35"/>
    </row>
    <row customHeight="true" ht="19" r="62">
      <c r="A62" s="34">
        <v>60</v>
      </c>
      <c r="B62" s="31" t="str">
        <v>上海</v>
      </c>
      <c r="C62" s="37" t="str">
        <v>政府性基金及附加</v>
      </c>
      <c r="D62" s="36" cm="1">
        <f t="array" ref="D62:D62">_xlfn.XLOOKUP($B$62,'分表5-政府性基金及附加'!$B$2：'分表5-政府性基金及附加'!$B$199,'分表5-政府性基金及附加'!$D$2：'分表5-政府性基金及附加'!$D$199)</f>
      </c>
      <c r="E62" s="36" cm="1">
        <f t="array" ref="E62:E62">_xlfn.XLOOKUP($B$62,'分表5-政府性基金及附加'!$B$2：'分表5-政府性基金及附加'!$B$199,'分表5-政府性基金及附加'!$D$2：'分表5-政府性基金及附加'!$D$199)</f>
      </c>
      <c r="F62" s="36" cm="1">
        <f t="array" ref="F62:F62">_xlfn.XLOOKUP($B$62,'分表5-政府性基金及附加'!$B$2：'分表5-政府性基金及附加'!$B$199,'分表5-政府性基金及附加'!$D$2：'分表5-政府性基金及附加'!$D$199)</f>
      </c>
      <c r="G62" s="36" cm="1">
        <f t="array" ref="G62:G62">_xlfn.XLOOKUP($B$62,'分表5-政府性基金及附加'!$B$2：'分表5-政府性基金及附加'!$B$199,'分表5-政府性基金及附加'!$D$2：'分表5-政府性基金及附加'!$D$199)</f>
      </c>
      <c r="H62" s="36" cm="1">
        <f t="array" ref="H62:H62">_xlfn.XLOOKUP($B$62,'分表5-政府性基金及附加'!$B$2：'分表5-政府性基金及附加'!$B$199,'分表5-政府性基金及附加'!$D$2：'分表5-政府性基金及附加'!$D$199)</f>
      </c>
      <c r="I62" s="36" cm="1">
        <f t="array" ref="I62:I62">_xlfn.XLOOKUP($B$62,'分表5-政府性基金及附加'!$B$2：'分表5-政府性基金及附加'!$B$199,'分表5-政府性基金及附加'!$D$2：'分表5-政府性基金及附加'!$D$199)</f>
      </c>
      <c r="J62" s="36" cm="1">
        <f t="array" ref="J62:J62">_xlfn.XLOOKUP($B$62,'分表5-政府性基金及附加'!$B$2：'分表5-政府性基金及附加'!$B$199,'分表5-政府性基金及附加'!$D$2：'分表5-政府性基金及附加'!$D$199)</f>
      </c>
      <c r="K62" s="36" cm="1">
        <f t="array" ref="K62:K62">_xlfn.XLOOKUP($B$62,'分表5-政府性基金及附加'!$B$2：'分表5-政府性基金及附加'!$B$199,'分表5-政府性基金及附加'!$D$2：'分表5-政府性基金及附加'!$D$199)</f>
      </c>
      <c r="L62" s="36" cm="1">
        <f t="array" ref="L62:L62">_xlfn.XLOOKUP($B$62,'分表5-政府性基金及附加'!$B$2：'分表5-政府性基金及附加'!$B$199,'分表5-政府性基金及附加'!$D$2：'分表5-政府性基金及附加'!$D$199)</f>
      </c>
      <c r="M62" s="36" cm="1">
        <f t="array" ref="M62:M62">_xlfn.XLOOKUP($B$62,'分表5-政府性基金及附加'!$B$2：'分表5-政府性基金及附加'!$B$199,'分表5-政府性基金及附加'!$D$2：'分表5-政府性基金及附加'!$D$199)</f>
      </c>
      <c r="N62" s="36" cm="1">
        <f t="array" ref="N62:N62">_xlfn.XLOOKUP($B$62,'分表5-政府性基金及附加'!$B$2：'分表5-政府性基金及附加'!$B$199,'分表5-政府性基金及附加'!$D$2：'分表5-政府性基金及附加'!$D$199)</f>
      </c>
      <c r="O62" s="36" cm="1">
        <f t="array" ref="O62:O62">_xlfn.XLOOKUP($B$62,'分表5-政府性基金及附加'!$B$2：'分表5-政府性基金及附加'!$B$199,'分表5-政府性基金及附加'!$D$2：'分表5-政府性基金及附加'!$D$199)</f>
      </c>
      <c r="P62" s="36">
        <f>IF(SUM(D62:O62)=0,"0",AVERAGEIF(D62:O62,"&lt;&gt;0",D62:O62))</f>
      </c>
      <c r="Q62" s="35"/>
    </row>
    <row customHeight="true" ht="19" r="63">
      <c r="A63" s="34">
        <v>61</v>
      </c>
      <c r="B63" s="31" t="str">
        <v>上海</v>
      </c>
      <c r="C63" s="37" t="str">
        <v>系统运行费折价</v>
      </c>
      <c r="D63" s="32">
        <f>'分表8-2025三类细分价'!D154</f>
      </c>
      <c r="E63" s="32">
        <f>'分表8-2025三类细分价'!E154</f>
      </c>
      <c r="F63" s="32">
        <f>'分表8-2025三类细分价'!F154</f>
      </c>
      <c r="G63" s="32">
        <f>'分表8-2025三类细分价'!G154</f>
      </c>
      <c r="H63" s="32">
        <f>'分表8-2025三类细分价'!H154</f>
      </c>
      <c r="I63" s="32">
        <f>'分表8-2025三类细分价'!I154</f>
      </c>
      <c r="J63" s="32">
        <f>'分表8-2025三类细分价'!J154</f>
      </c>
      <c r="K63" s="32">
        <f>'分表8-2025三类细分价'!K154</f>
      </c>
      <c r="L63" s="32">
        <f>'分表8-2025三类细分价'!L154</f>
      </c>
      <c r="M63" s="32">
        <f>'分表8-2025三类细分价'!M154</f>
      </c>
      <c r="N63" s="32">
        <f>'分表8-2025三类细分价'!N154</f>
      </c>
      <c r="O63" s="32">
        <f>'分表8-2025三类细分价'!O154</f>
      </c>
      <c r="P63" s="36">
        <f>IF(SUM(D63:O63)=0,"0",AVERAGEIF(D63:O63,"&lt;&gt;0",D63:O63))</f>
      </c>
      <c r="Q63" s="35"/>
    </row>
    <row customHeight="true" ht="19" r="64">
      <c r="A64" s="34">
        <v>62</v>
      </c>
      <c r="B64" s="31" t="str">
        <v>上海</v>
      </c>
      <c r="C64" s="37" t="str">
        <v>综合平段电价--电网代购</v>
      </c>
      <c r="D64" s="36">
        <f>IF(D61="/","/",SUM(D59:D63))</f>
      </c>
      <c r="E64" s="36">
        <f>IF(E61="/","/",SUM(E59:E63))</f>
      </c>
      <c r="F64" s="36">
        <f>IF(F61="/","/",SUM(F59:F63))</f>
      </c>
      <c r="G64" s="36">
        <f>IF(G61="/","/",SUM(G59:G63))</f>
      </c>
      <c r="H64" s="36">
        <f>IF(H61="/","/",SUM(H59:H63))</f>
      </c>
      <c r="I64" s="36">
        <f>IF(I61="/","/",SUM(I59:I63))</f>
      </c>
      <c r="J64" s="36">
        <f>IF(J61="/","/",SUM(J59:J63))</f>
      </c>
      <c r="K64" s="36">
        <f>IF(K61="/","/",SUM(K59:K63))</f>
      </c>
      <c r="L64" s="36">
        <f>IF(L61="/","/",SUM(L59:L63))</f>
      </c>
      <c r="M64" s="36">
        <f>IF(M61="/","/",SUM(M59:M63))</f>
      </c>
      <c r="N64" s="36">
        <f>IF(N61="/","/",SUM(N59:N63))</f>
      </c>
      <c r="O64" s="36">
        <f>IF(O61="/","/",SUM(O59:O63))</f>
      </c>
      <c r="P64" s="36">
        <f>IF(SUM(D64:O64)=0,"0",AVERAGEIF(D64:O64,"&lt;&gt;0",D64:O64))</f>
      </c>
      <c r="Q64" s="35"/>
    </row>
    <row customHeight="true" ht="19" r="65">
      <c r="A65" s="34">
        <v>63</v>
      </c>
      <c r="B65" s="31" t="str">
        <v>上海</v>
      </c>
      <c r="C65" s="37" t="str">
        <v>入市交易购电价格</v>
      </c>
      <c r="D65" s="32">
        <f>'分表9-2025交易价格'!D9</f>
      </c>
      <c r="E65" s="32">
        <f>'分表9-2025交易价格'!E9</f>
      </c>
      <c r="F65" s="32">
        <f>'分表9-2025交易价格'!F9</f>
      </c>
      <c r="G65" s="32">
        <f>'分表9-2025交易价格'!G9</f>
      </c>
      <c r="H65" s="32">
        <f>'分表9-2025交易价格'!H9</f>
      </c>
      <c r="I65" s="32">
        <f>'分表9-2025交易价格'!I9</f>
      </c>
      <c r="J65" s="32">
        <f>'分表9-2025交易价格'!J9</f>
      </c>
      <c r="K65" s="32">
        <f>'分表9-2025交易价格'!K9</f>
      </c>
      <c r="L65" s="32">
        <f>'分表9-2025交易价格'!L9</f>
      </c>
      <c r="M65" s="32">
        <f>'分表9-2025交易价格'!M9</f>
      </c>
      <c r="N65" s="32">
        <f>'分表9-2025交易价格'!N9</f>
      </c>
      <c r="O65" s="32">
        <f>'分表9-2025交易价格'!O9</f>
      </c>
      <c r="P65" s="36">
        <f>IF(SUM(D65:O65)=0,"0",AVERAGEIF(D65:O65,"&lt;&gt;0",D65:O65))</f>
      </c>
      <c r="Q65" s="35"/>
    </row>
    <row customHeight="true" ht="19" r="66">
      <c r="A66" s="34">
        <v>64</v>
      </c>
      <c r="B66" s="31" t="str">
        <v>上海</v>
      </c>
      <c r="C66" s="37" t="str">
        <v>综合平段电价--入市交易</v>
      </c>
      <c r="D66" s="36">
        <f>IF(D61="/","/",IF(D65&gt;0,D65+SUM(D60:D63),"/"))</f>
      </c>
      <c r="E66" s="36">
        <f>IF(E61="/","/",IF(E65&gt;0,E65+SUM(E60:E63),"/"))</f>
      </c>
      <c r="F66" s="36">
        <f>IF(F61="/","/",IF(F65&gt;0,F65+SUM(F60:F63),"/"))</f>
      </c>
      <c r="G66" s="36">
        <f>IF(G61="/","/",IF(G65&gt;0,G65+SUM(G60:G63),"/"))</f>
      </c>
      <c r="H66" s="36">
        <f>IF(H61="/","/",IF(H65&gt;0,H65+SUM(H60:H63),"/"))</f>
      </c>
      <c r="I66" s="36">
        <f>IF(I61="/","/",IF(I65&gt;0,I65+SUM(I60:I63),"/"))</f>
      </c>
      <c r="J66" s="36">
        <f>IF(J61="/","/",IF(J65&gt;0,J65+SUM(J60:J63),"/"))</f>
      </c>
      <c r="K66" s="36">
        <f>IF(K61="/","/",IF(K65&gt;0,K65+SUM(K60:K63),"/"))</f>
      </c>
      <c r="L66" s="36">
        <f>IF(L61="/","/",IF(L65&gt;0,L65+SUM(L60:L63),"/"))</f>
      </c>
      <c r="M66" s="36">
        <f>IF(M61="/","/",IF(M65&gt;0,M65+SUM(M60:M63),"/"))</f>
      </c>
      <c r="N66" s="36">
        <f>IF(N61="/","/",IF(N65&gt;0,N65+SUM(N60:N63),"/"))</f>
      </c>
      <c r="O66" s="36">
        <f>IF(O61="/","/",IF(O65&gt;0,O65+SUM(O60:O63),"/"))</f>
      </c>
      <c r="P66" s="36">
        <f>IF(SUM(D66:O66)=0,"0",AVERAGEIF(D66:O66,"&lt;&gt;0",D66:O66))</f>
      </c>
      <c r="Q66" s="35"/>
    </row>
    <row customHeight="true" ht="19" r="67">
      <c r="A67" s="34">
        <v>65</v>
      </c>
      <c r="B67" s="40" t="str">
        <v>江苏</v>
      </c>
      <c r="C67" s="39" t="str">
        <v>代理购电价格</v>
      </c>
      <c r="D67" s="34">
        <f>'分表8-2025三类细分价'!D171</f>
      </c>
      <c r="E67" s="34">
        <f>'分表8-2025三类细分价'!E171</f>
      </c>
      <c r="F67" s="34">
        <f>'分表8-2025三类细分价'!F171</f>
      </c>
      <c r="G67" s="34">
        <f>'分表8-2025三类细分价'!G171</f>
      </c>
      <c r="H67" s="34">
        <f>'分表8-2025三类细分价'!H171</f>
      </c>
      <c r="I67" s="34">
        <f>'分表8-2025三类细分价'!I171</f>
      </c>
      <c r="J67" s="34">
        <f>'分表8-2025三类细分价'!J171</f>
      </c>
      <c r="K67" s="34">
        <f>'分表8-2025三类细分价'!K171</f>
      </c>
      <c r="L67" s="34">
        <f>'分表8-2025三类细分价'!L171</f>
      </c>
      <c r="M67" s="34">
        <f>'分表8-2025三类细分价'!M171</f>
      </c>
      <c r="N67" s="34">
        <f>'分表8-2025三类细分价'!N171</f>
      </c>
      <c r="O67" s="34">
        <f>'分表8-2025三类细分价'!O171</f>
      </c>
      <c r="P67" s="34">
        <f>IF(SUM(D67:O67)=0,"0",AVERAGEIF(D67:O67,"&lt;&gt;0",D67:O67))</f>
      </c>
      <c r="Q67" s="38"/>
    </row>
    <row customHeight="true" ht="19" r="68">
      <c r="A68" s="34">
        <v>66</v>
      </c>
      <c r="B68" s="40" t="str">
        <v>江苏</v>
      </c>
      <c r="C68" s="39" t="str">
        <v>上网环节线损电价</v>
      </c>
      <c r="D68" s="34">
        <f>'分表8-2025三类细分价'!D174</f>
      </c>
      <c r="E68" s="34">
        <f>'分表8-2025三类细分价'!E174</f>
      </c>
      <c r="F68" s="34">
        <f>'分表8-2025三类细分价'!F174</f>
      </c>
      <c r="G68" s="34">
        <f>'分表8-2025三类细分价'!G174</f>
      </c>
      <c r="H68" s="34">
        <f>'分表8-2025三类细分价'!H174</f>
      </c>
      <c r="I68" s="34">
        <f>'分表8-2025三类细分价'!I174</f>
      </c>
      <c r="J68" s="34">
        <f>'分表8-2025三类细分价'!J174</f>
      </c>
      <c r="K68" s="34">
        <f>'分表8-2025三类细分价'!K174</f>
      </c>
      <c r="L68" s="34">
        <f>'分表8-2025三类细分价'!L174</f>
      </c>
      <c r="M68" s="34">
        <f>'分表8-2025三类细分价'!M174</f>
      </c>
      <c r="N68" s="34">
        <f>'分表8-2025三类细分价'!N174</f>
      </c>
      <c r="O68" s="34">
        <f>'分表8-2025三类细分价'!O174</f>
      </c>
      <c r="P68" s="34">
        <f>IF(SUM(D68:O68)=0,"0",AVERAGEIF(D68:O68,"&lt;&gt;0",D68:O68))</f>
      </c>
      <c r="Q68" s="38"/>
    </row>
    <row customHeight="true" ht="19" r="69">
      <c r="A69" s="34">
        <v>67</v>
      </c>
      <c r="B69" s="40" t="str">
        <v>江苏</v>
      </c>
      <c r="C69" s="39" t="str">
        <v>电度输配电价</v>
      </c>
      <c r="D69" s="34" cm="1">
        <f t="array" ref="D69:D69">_xlfn.XLOOKUP($C$1,'分表4-电度输配电价'!$C66：'分表4-电度输配电价'!$C73&amp;'分表4-电度输配电价'!$D66：'分表4-电度输配电价'!$D73,'分表4-电度输配电价'!$E66：'分表4-电度输配电价'!$E73)</f>
      </c>
      <c r="E69" s="34" cm="1">
        <f t="array" ref="E69:E69">_xlfn.XLOOKUP($C$1,'分表4-电度输配电价'!$C66：'分表4-电度输配电价'!$C73&amp;'分表4-电度输配电价'!$D66：'分表4-电度输配电价'!$D73,'分表4-电度输配电价'!$E66：'分表4-电度输配电价'!$E73)</f>
      </c>
      <c r="F69" s="34" cm="1">
        <f t="array" ref="F69:F69">_xlfn.XLOOKUP($C$1,'分表4-电度输配电价'!$C66：'分表4-电度输配电价'!$C73&amp;'分表4-电度输配电价'!$D66：'分表4-电度输配电价'!$D73,'分表4-电度输配电价'!$E66：'分表4-电度输配电价'!$E73)</f>
      </c>
      <c r="G69" s="34" cm="1">
        <f t="array" ref="G69:G69">_xlfn.XLOOKUP($C$1,'分表4-电度输配电价'!$C66：'分表4-电度输配电价'!$C73&amp;'分表4-电度输配电价'!$D66：'分表4-电度输配电价'!$D73,'分表4-电度输配电价'!$E66：'分表4-电度输配电价'!$E73)</f>
      </c>
      <c r="H69" s="34" cm="1">
        <f t="array" ref="H69:H69">_xlfn.XLOOKUP($C$1,'分表4-电度输配电价'!$C66：'分表4-电度输配电价'!$C73&amp;'分表4-电度输配电价'!$D66：'分表4-电度输配电价'!$D73,'分表4-电度输配电价'!$E66：'分表4-电度输配电价'!$E73)</f>
      </c>
      <c r="I69" s="34" cm="1">
        <f t="array" ref="I69:I69">_xlfn.XLOOKUP($C$1,'分表4-电度输配电价'!$C66：'分表4-电度输配电价'!$C73&amp;'分表4-电度输配电价'!$D66：'分表4-电度输配电价'!$D73,'分表4-电度输配电价'!$E66：'分表4-电度输配电价'!$E73)</f>
      </c>
      <c r="J69" s="34" cm="1">
        <f t="array" ref="J69:J69">_xlfn.XLOOKUP($C$1,'分表4-电度输配电价'!$C66：'分表4-电度输配电价'!$C73&amp;'分表4-电度输配电价'!$D66：'分表4-电度输配电价'!$D73,'分表4-电度输配电价'!$E66：'分表4-电度输配电价'!$E73)</f>
      </c>
      <c r="K69" s="34" cm="1">
        <f t="array" ref="K69:K69">_xlfn.XLOOKUP($C$1,'分表4-电度输配电价'!$C66：'分表4-电度输配电价'!$C73&amp;'分表4-电度输配电价'!$D66：'分表4-电度输配电价'!$D73,'分表4-电度输配电价'!$E66：'分表4-电度输配电价'!$E73)</f>
      </c>
      <c r="L69" s="34" cm="1">
        <f t="array" ref="L69:L69">_xlfn.XLOOKUP($C$1,'分表4-电度输配电价'!$C66：'分表4-电度输配电价'!$C73&amp;'分表4-电度输配电价'!$D66：'分表4-电度输配电价'!$D73,'分表4-电度输配电价'!$E66：'分表4-电度输配电价'!$E73)</f>
      </c>
      <c r="M69" s="34" cm="1">
        <f t="array" ref="M69:M69">_xlfn.XLOOKUP($C$1,'分表4-电度输配电价'!$C66：'分表4-电度输配电价'!$C73&amp;'分表4-电度输配电价'!$D66：'分表4-电度输配电价'!$D73,'分表4-电度输配电价'!$E66：'分表4-电度输配电价'!$E73)</f>
      </c>
      <c r="N69" s="34" cm="1">
        <f t="array" ref="N69:N69">_xlfn.XLOOKUP($C$1,'分表4-电度输配电价'!$C66：'分表4-电度输配电价'!$C73&amp;'分表4-电度输配电价'!$D66：'分表4-电度输配电价'!$D73,'分表4-电度输配电价'!$E66：'分表4-电度输配电价'!$E73)</f>
      </c>
      <c r="O69" s="34" cm="1">
        <f t="array" ref="O69:O69">_xlfn.XLOOKUP($C$1,'分表4-电度输配电价'!$C66：'分表4-电度输配电价'!$C73&amp;'分表4-电度输配电价'!$D66：'分表4-电度输配电价'!$D73,'分表4-电度输配电价'!$E66：'分表4-电度输配电价'!$E73)</f>
      </c>
      <c r="P69" s="34">
        <f>IF(SUM(D69:O69)=0,"0",AVERAGEIF(D69:O69,"&lt;&gt;0",D69:O69))</f>
      </c>
      <c r="Q69" s="38"/>
    </row>
    <row customHeight="true" ht="19" r="70">
      <c r="A70" s="34">
        <v>68</v>
      </c>
      <c r="B70" s="40" t="str">
        <v>江苏</v>
      </c>
      <c r="C70" s="39" t="str">
        <v>政府性基金及附加</v>
      </c>
      <c r="D70" s="34" cm="1">
        <f t="array" ref="D70:D70">_xlfn.XLOOKUP($B$70,'分表5-政府性基金及附加'!$B$2：'分表5-政府性基金及附加'!$B$199,'分表5-政府性基金及附加'!$D$2：'分表5-政府性基金及附加'!$D$199)</f>
      </c>
      <c r="E70" s="34" cm="1">
        <f t="array" ref="E70:E70">_xlfn.XLOOKUP($B$70,'分表5-政府性基金及附加'!$B$2：'分表5-政府性基金及附加'!$B$199,'分表5-政府性基金及附加'!$D$2：'分表5-政府性基金及附加'!$D$199)</f>
      </c>
      <c r="F70" s="34" cm="1">
        <f t="array" ref="F70:F70">_xlfn.XLOOKUP($B$70,'分表5-政府性基金及附加'!$B$2：'分表5-政府性基金及附加'!$B$199,'分表5-政府性基金及附加'!$D$2：'分表5-政府性基金及附加'!$D$199)</f>
      </c>
      <c r="G70" s="34" cm="1">
        <f t="array" ref="G70:G70">_xlfn.XLOOKUP($B$70,'分表5-政府性基金及附加'!$B$2：'分表5-政府性基金及附加'!$B$199,'分表5-政府性基金及附加'!$D$2：'分表5-政府性基金及附加'!$D$199)</f>
      </c>
      <c r="H70" s="34" cm="1">
        <f t="array" ref="H70:H70">_xlfn.XLOOKUP($B$70,'分表5-政府性基金及附加'!$B$2：'分表5-政府性基金及附加'!$B$199,'分表5-政府性基金及附加'!$D$2：'分表5-政府性基金及附加'!$D$199)</f>
      </c>
      <c r="I70" s="34" cm="1">
        <f t="array" ref="I70:I70">_xlfn.XLOOKUP($B$70,'分表5-政府性基金及附加'!$B$2：'分表5-政府性基金及附加'!$B$199,'分表5-政府性基金及附加'!$D$2：'分表5-政府性基金及附加'!$D$199)</f>
      </c>
      <c r="J70" s="34" cm="1">
        <f t="array" ref="J70:J70">_xlfn.XLOOKUP($B$70,'分表5-政府性基金及附加'!$B$2：'分表5-政府性基金及附加'!$B$199,'分表5-政府性基金及附加'!$D$2：'分表5-政府性基金及附加'!$D$199)</f>
      </c>
      <c r="K70" s="34" cm="1">
        <f t="array" ref="K70:K70">_xlfn.XLOOKUP($B$70,'分表5-政府性基金及附加'!$B$2：'分表5-政府性基金及附加'!$B$199,'分表5-政府性基金及附加'!$D$2：'分表5-政府性基金及附加'!$D$199)</f>
      </c>
      <c r="L70" s="34" cm="1">
        <f t="array" ref="L70:L70">_xlfn.XLOOKUP($B$70,'分表5-政府性基金及附加'!$B$2：'分表5-政府性基金及附加'!$B$199,'分表5-政府性基金及附加'!$D$2：'分表5-政府性基金及附加'!$D$199)</f>
      </c>
      <c r="M70" s="34" cm="1">
        <f t="array" ref="M70:M70">_xlfn.XLOOKUP($B$70,'分表5-政府性基金及附加'!$B$2：'分表5-政府性基金及附加'!$B$199,'分表5-政府性基金及附加'!$D$2：'分表5-政府性基金及附加'!$D$199)</f>
      </c>
      <c r="N70" s="34" cm="1">
        <f t="array" ref="N70:N70">_xlfn.XLOOKUP($B$70,'分表5-政府性基金及附加'!$B$2：'分表5-政府性基金及附加'!$B$199,'分表5-政府性基金及附加'!$D$2：'分表5-政府性基金及附加'!$D$199)</f>
      </c>
      <c r="O70" s="34" cm="1">
        <f t="array" ref="O70:O70">_xlfn.XLOOKUP($B$70,'分表5-政府性基金及附加'!$B$2：'分表5-政府性基金及附加'!$B$199,'分表5-政府性基金及附加'!$D$2：'分表5-政府性基金及附加'!$D$199)</f>
      </c>
      <c r="P70" s="34">
        <f>IF(SUM(D70:O70)=0,"0",AVERAGEIF(D70:O70,"&lt;&gt;0",D70:O70))</f>
      </c>
      <c r="Q70" s="38"/>
    </row>
    <row customHeight="true" ht="19" r="71">
      <c r="A71" s="34">
        <v>69</v>
      </c>
      <c r="B71" s="40" t="str">
        <v>江苏</v>
      </c>
      <c r="C71" s="39" t="str">
        <v>系统运行费折价</v>
      </c>
      <c r="D71" s="34">
        <f>'分表8-2025三类细分价'!D175</f>
      </c>
      <c r="E71" s="34">
        <f>'分表8-2025三类细分价'!E175</f>
      </c>
      <c r="F71" s="34">
        <f>'分表8-2025三类细分价'!F175</f>
      </c>
      <c r="G71" s="34">
        <f>'分表8-2025三类细分价'!G175</f>
      </c>
      <c r="H71" s="34">
        <f>'分表8-2025三类细分价'!H175</f>
      </c>
      <c r="I71" s="34">
        <f>'分表8-2025三类细分价'!I175</f>
      </c>
      <c r="J71" s="34">
        <f>'分表8-2025三类细分价'!J175</f>
      </c>
      <c r="K71" s="34">
        <f>'分表8-2025三类细分价'!K175</f>
      </c>
      <c r="L71" s="34">
        <f>'分表8-2025三类细分价'!L175</f>
      </c>
      <c r="M71" s="34">
        <f>'分表8-2025三类细分价'!M175</f>
      </c>
      <c r="N71" s="34">
        <f>'分表8-2025三类细分价'!N175</f>
      </c>
      <c r="O71" s="34">
        <f>'分表8-2025三类细分价'!O175</f>
      </c>
      <c r="P71" s="34">
        <f>IF(SUM(D71:O71)=0,"0",AVERAGEIF(D71:O71,"&lt;&gt;0",D71:O71))</f>
      </c>
      <c r="Q71" s="38"/>
    </row>
    <row customHeight="true" ht="19" r="72">
      <c r="A72" s="34">
        <v>70</v>
      </c>
      <c r="B72" s="40" t="str">
        <v>江苏</v>
      </c>
      <c r="C72" s="39" t="str">
        <v>综合平段电价--电网代购</v>
      </c>
      <c r="D72" s="34">
        <f>IF(D69="/","/",SUM(D67:D71))</f>
      </c>
      <c r="E72" s="34">
        <f>IF(E69="/","/",SUM(E67:E71))</f>
      </c>
      <c r="F72" s="34">
        <f>IF(F69="/","/",SUM(F67:F71))</f>
      </c>
      <c r="G72" s="34">
        <f>IF(G69="/","/",SUM(G67:G71))</f>
      </c>
      <c r="H72" s="34">
        <f>IF(H69="/","/",SUM(H67:H71))</f>
      </c>
      <c r="I72" s="34">
        <f>IF(I69="/","/",SUM(I67:I71))</f>
      </c>
      <c r="J72" s="34">
        <f>IF(J69="/","/",SUM(J67:J71))</f>
      </c>
      <c r="K72" s="34">
        <f>IF(K69="/","/",SUM(K67:K71))</f>
      </c>
      <c r="L72" s="34">
        <f>IF(L69="/","/",SUM(L67:L71))</f>
      </c>
      <c r="M72" s="34">
        <f>IF(M69="/","/",SUM(M67:M71))</f>
      </c>
      <c r="N72" s="34">
        <f>IF(N69="/","/",SUM(N67:N71))</f>
      </c>
      <c r="O72" s="34">
        <f>IF(O69="/","/",SUM(O67:O71))</f>
      </c>
      <c r="P72" s="34">
        <f>IF(SUM(D72:O72)=0,"0",AVERAGEIF(D72:O72,"&lt;&gt;0",D72:O72))</f>
      </c>
      <c r="Q72" s="38"/>
    </row>
    <row customHeight="true" ht="19" r="73">
      <c r="A73" s="34">
        <v>71</v>
      </c>
      <c r="B73" s="40" t="str">
        <v>江苏</v>
      </c>
      <c r="C73" s="39" t="str">
        <v>入市交易购电价格</v>
      </c>
      <c r="D73" s="34">
        <f>'分表9-2025交易价格'!D10</f>
      </c>
      <c r="E73" s="34">
        <f>'分表9-2025交易价格'!E10</f>
      </c>
      <c r="F73" s="34">
        <f>'分表9-2025交易价格'!F10</f>
      </c>
      <c r="G73" s="34">
        <f>'分表9-2025交易价格'!G10</f>
      </c>
      <c r="H73" s="34">
        <f>'分表9-2025交易价格'!H10</f>
      </c>
      <c r="I73" s="34">
        <f>'分表9-2025交易价格'!I10</f>
      </c>
      <c r="J73" s="34">
        <f>'分表9-2025交易价格'!J10</f>
      </c>
      <c r="K73" s="34">
        <f>'分表9-2025交易价格'!K10</f>
      </c>
      <c r="L73" s="34">
        <f>'分表9-2025交易价格'!L10</f>
      </c>
      <c r="M73" s="34">
        <f>'分表9-2025交易价格'!M10</f>
      </c>
      <c r="N73" s="34">
        <f>'分表9-2025交易价格'!N10</f>
      </c>
      <c r="O73" s="34">
        <f>'分表9-2025交易价格'!O10</f>
      </c>
      <c r="P73" s="34">
        <f>IF(SUM(D73:O73)=0,"0",AVERAGEIF(D73:O73,"&lt;&gt;0",D73:O73))</f>
      </c>
      <c r="Q73" s="38"/>
    </row>
    <row customHeight="true" ht="19" r="74">
      <c r="A74" s="34">
        <v>72</v>
      </c>
      <c r="B74" s="40" t="str">
        <v>江苏</v>
      </c>
      <c r="C74" s="39" t="str">
        <v>综合平段电价--入市交易</v>
      </c>
      <c r="D74" s="34">
        <f>IF(D69="/","/",IF(D73&gt;0,D73+SUM(D68:D71),"/"))</f>
      </c>
      <c r="E74" s="34">
        <f>IF(E69="/","/",IF(E73&gt;0,E73+SUM(E68:E71),"/"))</f>
      </c>
      <c r="F74" s="34">
        <f>IF(F69="/","/",IF(F73&gt;0,F73+SUM(F68:F71),"/"))</f>
      </c>
      <c r="G74" s="34">
        <f>IF(G69="/","/",IF(G73&gt;0,G73+SUM(G68:G71),"/"))</f>
      </c>
      <c r="H74" s="34">
        <f>IF(H69="/","/",IF(H73&gt;0,H73+SUM(H68:H71),"/"))</f>
      </c>
      <c r="I74" s="34">
        <f>IF(I69="/","/",IF(I73&gt;0,I73+SUM(I68:I71),"/"))</f>
      </c>
      <c r="J74" s="34">
        <f>IF(J69="/","/",IF(J73&gt;0,J73+SUM(J68:J71),"/"))</f>
      </c>
      <c r="K74" s="34">
        <f>IF(K69="/","/",IF(K73&gt;0,K73+SUM(K68:K71),"/"))</f>
      </c>
      <c r="L74" s="34">
        <f>IF(L69="/","/",IF(L73&gt;0,L73+SUM(L68:L71),"/"))</f>
      </c>
      <c r="M74" s="34">
        <f>IF(M69="/","/",IF(M73&gt;0,M73+SUM(M68:M71),"/"))</f>
      </c>
      <c r="N74" s="34">
        <f>IF(N69="/","/",IF(N73&gt;0,N73+SUM(N68:N71),"/"))</f>
      </c>
      <c r="O74" s="34">
        <f>IF(O69="/","/",IF(O73&gt;0,O73+SUM(O68:O71),"/"))</f>
      </c>
      <c r="P74" s="34">
        <f>IF(SUM(D74:O74)=0,"0",AVERAGEIF(D74:O74,"&lt;&gt;0",D74:O74))</f>
      </c>
      <c r="Q74" s="38"/>
    </row>
    <row customHeight="true" ht="19" r="75">
      <c r="A75" s="34">
        <v>73</v>
      </c>
      <c r="B75" s="31" t="str">
        <v>浙江</v>
      </c>
      <c r="C75" s="37" t="str">
        <v>代理购电价格</v>
      </c>
      <c r="D75" s="36">
        <f>'分表8-2025三类细分价'!D192</f>
      </c>
      <c r="E75" s="36">
        <f>'分表8-2025三类细分价'!E192</f>
      </c>
      <c r="F75" s="36">
        <f>'分表8-2025三类细分价'!F192</f>
      </c>
      <c r="G75" s="36">
        <f>'分表8-2025三类细分价'!G192</f>
      </c>
      <c r="H75" s="36">
        <f>'分表8-2025三类细分价'!H192</f>
      </c>
      <c r="I75" s="36">
        <f>'分表8-2025三类细分价'!I192</f>
      </c>
      <c r="J75" s="36">
        <f>'分表8-2025三类细分价'!J192</f>
      </c>
      <c r="K75" s="36">
        <f>'分表8-2025三类细分价'!K192</f>
      </c>
      <c r="L75" s="36">
        <f>'分表8-2025三类细分价'!L192</f>
      </c>
      <c r="M75" s="36">
        <f>'分表8-2025三类细分价'!M192</f>
      </c>
      <c r="N75" s="36">
        <f>'分表8-2025三类细分价'!N192</f>
      </c>
      <c r="O75" s="36">
        <f>'分表8-2025三类细分价'!O192</f>
      </c>
      <c r="P75" s="36">
        <f>IF(SUM(D75:O75)=0,"0",AVERAGEIF(D75:O75,"&lt;&gt;0",D75:O75))</f>
      </c>
      <c r="Q75" s="35"/>
    </row>
    <row customHeight="true" ht="19" r="76">
      <c r="A76" s="34">
        <v>74</v>
      </c>
      <c r="B76" s="31" t="str">
        <v>浙江</v>
      </c>
      <c r="C76" s="37" t="str">
        <v>上网环节线损电价</v>
      </c>
      <c r="D76" s="32">
        <f>'分表8-2025三类细分价'!D195</f>
      </c>
      <c r="E76" s="32">
        <f>'分表8-2025三类细分价'!E195</f>
      </c>
      <c r="F76" s="32">
        <f>'分表8-2025三类细分价'!F195</f>
      </c>
      <c r="G76" s="32">
        <f>'分表8-2025三类细分价'!G195</f>
      </c>
      <c r="H76" s="32">
        <f>'分表8-2025三类细分价'!H195</f>
      </c>
      <c r="I76" s="32">
        <f>'分表8-2025三类细分价'!I195</f>
      </c>
      <c r="J76" s="32">
        <f>'分表8-2025三类细分价'!J195</f>
      </c>
      <c r="K76" s="32">
        <f>'分表8-2025三类细分价'!K195</f>
      </c>
      <c r="L76" s="32">
        <f>'分表8-2025三类细分价'!L195</f>
      </c>
      <c r="M76" s="32">
        <f>'分表8-2025三类细分价'!M195</f>
      </c>
      <c r="N76" s="32">
        <f>'分表8-2025三类细分价'!N195</f>
      </c>
      <c r="O76" s="32">
        <f>'分表8-2025三类细分价'!O195</f>
      </c>
      <c r="P76" s="36">
        <f>IF(SUM(D76:O76)=0,"0",AVERAGEIF(D76:O76,"&lt;&gt;0",D76:O76))</f>
      </c>
      <c r="Q76" s="35"/>
    </row>
    <row customHeight="true" ht="19" r="77">
      <c r="A77" s="34">
        <v>75</v>
      </c>
      <c r="B77" s="31" t="str">
        <v>浙江</v>
      </c>
      <c r="C77" s="37" t="str">
        <v>电度输配电价</v>
      </c>
      <c r="D77" s="36" cm="1">
        <f t="array" ref="D77:D77">_xlfn.XLOOKUP($C$1,'分表4-电度输配电价'!$C74：'分表4-电度输配电价'!$C81&amp;'分表4-电度输配电价'!$D74：'分表4-电度输配电价'!$D81,'分表4-电度输配电价'!$E74：'分表4-电度输配电价'!$E81)</f>
      </c>
      <c r="E77" s="36" cm="1">
        <f t="array" ref="E77:E77">_xlfn.XLOOKUP($C$1,'分表4-电度输配电价'!$C74：'分表4-电度输配电价'!$C81&amp;'分表4-电度输配电价'!$D74：'分表4-电度输配电价'!$D81,'分表4-电度输配电价'!$E74：'分表4-电度输配电价'!$E81)</f>
      </c>
      <c r="F77" s="36" cm="1">
        <f t="array" ref="F77:F77">_xlfn.XLOOKUP($C$1,'分表4-电度输配电价'!$C74：'分表4-电度输配电价'!$C81&amp;'分表4-电度输配电价'!$D74：'分表4-电度输配电价'!$D81,'分表4-电度输配电价'!$E74：'分表4-电度输配电价'!$E81)</f>
      </c>
      <c r="G77" s="36" cm="1">
        <f t="array" ref="G77:G77">_xlfn.XLOOKUP($C$1,'分表4-电度输配电价'!$C74：'分表4-电度输配电价'!$C81&amp;'分表4-电度输配电价'!$D74：'分表4-电度输配电价'!$D81,'分表4-电度输配电价'!$E74：'分表4-电度输配电价'!$E81)</f>
      </c>
      <c r="H77" s="36" cm="1">
        <f t="array" ref="H77:H77">_xlfn.XLOOKUP($C$1,'分表4-电度输配电价'!$C74：'分表4-电度输配电价'!$C81&amp;'分表4-电度输配电价'!$D74：'分表4-电度输配电价'!$D81,'分表4-电度输配电价'!$E74：'分表4-电度输配电价'!$E81)</f>
      </c>
      <c r="I77" s="36" cm="1">
        <f t="array" ref="I77:I77">_xlfn.XLOOKUP($C$1,'分表4-电度输配电价'!$C74：'分表4-电度输配电价'!$C81&amp;'分表4-电度输配电价'!$D74：'分表4-电度输配电价'!$D81,'分表4-电度输配电价'!$E74：'分表4-电度输配电价'!$E81)</f>
      </c>
      <c r="J77" s="36" cm="1">
        <f t="array" ref="J77:J77">_xlfn.XLOOKUP($C$1,'分表4-电度输配电价'!$C74：'分表4-电度输配电价'!$C81&amp;'分表4-电度输配电价'!$D74：'分表4-电度输配电价'!$D81,'分表4-电度输配电价'!$E74：'分表4-电度输配电价'!$E81)</f>
      </c>
      <c r="K77" s="36" cm="1">
        <f t="array" ref="K77:K77">_xlfn.XLOOKUP($C$1,'分表4-电度输配电价'!$C74：'分表4-电度输配电价'!$C81&amp;'分表4-电度输配电价'!$D74：'分表4-电度输配电价'!$D81,'分表4-电度输配电价'!$E74：'分表4-电度输配电价'!$E81)</f>
      </c>
      <c r="L77" s="36" cm="1">
        <f t="array" ref="L77:L77">_xlfn.XLOOKUP($C$1,'分表4-电度输配电价'!$C74：'分表4-电度输配电价'!$C81&amp;'分表4-电度输配电价'!$D74：'分表4-电度输配电价'!$D81,'分表4-电度输配电价'!$E74：'分表4-电度输配电价'!$E81)</f>
      </c>
      <c r="M77" s="36" cm="1">
        <f t="array" ref="M77:M77">_xlfn.XLOOKUP($C$1,'分表4-电度输配电价'!$C74：'分表4-电度输配电价'!$C81&amp;'分表4-电度输配电价'!$D74：'分表4-电度输配电价'!$D81,'分表4-电度输配电价'!$E74：'分表4-电度输配电价'!$E81)</f>
      </c>
      <c r="N77" s="36" cm="1">
        <f t="array" ref="N77:N77">_xlfn.XLOOKUP($C$1,'分表4-电度输配电价'!$C74：'分表4-电度输配电价'!$C81&amp;'分表4-电度输配电价'!$D74：'分表4-电度输配电价'!$D81,'分表4-电度输配电价'!$E74：'分表4-电度输配电价'!$E81)</f>
      </c>
      <c r="O77" s="36" cm="1">
        <f t="array" ref="O77:O77">_xlfn.XLOOKUP($C$1,'分表4-电度输配电价'!$C74：'分表4-电度输配电价'!$C81&amp;'分表4-电度输配电价'!$D74：'分表4-电度输配电价'!$D81,'分表4-电度输配电价'!$E74：'分表4-电度输配电价'!$E81)</f>
      </c>
      <c r="P77" s="36">
        <f>IF(SUM(D77:O77)=0,"0",AVERAGEIF(D77:O77,"&lt;&gt;0",D77:O77))</f>
      </c>
      <c r="Q77" s="35"/>
    </row>
    <row customHeight="true" ht="19" r="78">
      <c r="A78" s="34">
        <v>76</v>
      </c>
      <c r="B78" s="31" t="str">
        <v>浙江</v>
      </c>
      <c r="C78" s="37" t="str">
        <v>政府性基金及附加</v>
      </c>
      <c r="D78" s="36" cm="1">
        <f t="array" ref="D78:D78">_xlfn.XLOOKUP($B$78,'分表5-政府性基金及附加'!$B$2：'分表5-政府性基金及附加'!$B$199,'分表5-政府性基金及附加'!$D$2：'分表5-政府性基金及附加'!$D$199)</f>
      </c>
      <c r="E78" s="36" cm="1">
        <f t="array" ref="E78:E78">_xlfn.XLOOKUP($B$78,'分表5-政府性基金及附加'!$B$2：'分表5-政府性基金及附加'!$B$199,'分表5-政府性基金及附加'!$D$2：'分表5-政府性基金及附加'!$D$199)</f>
      </c>
      <c r="F78" s="36" cm="1">
        <f t="array" ref="F78:F78">_xlfn.XLOOKUP($B$78,'分表5-政府性基金及附加'!$B$2：'分表5-政府性基金及附加'!$B$199,'分表5-政府性基金及附加'!$D$2：'分表5-政府性基金及附加'!$D$199)</f>
      </c>
      <c r="G78" s="36" cm="1">
        <f t="array" ref="G78:G78">_xlfn.XLOOKUP($B$78,'分表5-政府性基金及附加'!$B$2：'分表5-政府性基金及附加'!$B$199,'分表5-政府性基金及附加'!$D$2：'分表5-政府性基金及附加'!$D$199)</f>
      </c>
      <c r="H78" s="36" cm="1">
        <f t="array" ref="H78:H78">_xlfn.XLOOKUP($B$78,'分表5-政府性基金及附加'!$B$2：'分表5-政府性基金及附加'!$B$199,'分表5-政府性基金及附加'!$D$2：'分表5-政府性基金及附加'!$D$199)</f>
      </c>
      <c r="I78" s="36" cm="1">
        <f t="array" ref="I78:I78">_xlfn.XLOOKUP($B$78,'分表5-政府性基金及附加'!$B$2：'分表5-政府性基金及附加'!$B$199,'分表5-政府性基金及附加'!$D$2：'分表5-政府性基金及附加'!$D$199)</f>
      </c>
      <c r="J78" s="36" cm="1">
        <f t="array" ref="J78:J78">_xlfn.XLOOKUP($B$78,'分表5-政府性基金及附加'!$B$2：'分表5-政府性基金及附加'!$B$199,'分表5-政府性基金及附加'!$D$2：'分表5-政府性基金及附加'!$D$199)</f>
      </c>
      <c r="K78" s="36" cm="1">
        <f t="array" ref="K78:K78">_xlfn.XLOOKUP($B$78,'分表5-政府性基金及附加'!$B$2：'分表5-政府性基金及附加'!$B$199,'分表5-政府性基金及附加'!$D$2：'分表5-政府性基金及附加'!$D$199)</f>
      </c>
      <c r="L78" s="36" cm="1">
        <f t="array" ref="L78:L78">_xlfn.XLOOKUP($B$78,'分表5-政府性基金及附加'!$B$2：'分表5-政府性基金及附加'!$B$199,'分表5-政府性基金及附加'!$D$2：'分表5-政府性基金及附加'!$D$199)</f>
      </c>
      <c r="M78" s="36" cm="1">
        <f t="array" ref="M78:M78">_xlfn.XLOOKUP($B$78,'分表5-政府性基金及附加'!$B$2：'分表5-政府性基金及附加'!$B$199,'分表5-政府性基金及附加'!$D$2：'分表5-政府性基金及附加'!$D$199)</f>
      </c>
      <c r="N78" s="36" cm="1">
        <f t="array" ref="N78:N78">_xlfn.XLOOKUP($B$78,'分表5-政府性基金及附加'!$B$2：'分表5-政府性基金及附加'!$B$199,'分表5-政府性基金及附加'!$D$2：'分表5-政府性基金及附加'!$D$199)</f>
      </c>
      <c r="O78" s="36" cm="1">
        <f t="array" ref="O78:O78">_xlfn.XLOOKUP($B$78,'分表5-政府性基金及附加'!$B$2：'分表5-政府性基金及附加'!$B$199,'分表5-政府性基金及附加'!$D$2：'分表5-政府性基金及附加'!$D$199)</f>
      </c>
      <c r="P78" s="36">
        <f>IF(SUM(D78:O78)=0,"0",AVERAGEIF(D78:O78,"&lt;&gt;0",D78:O78))</f>
      </c>
      <c r="Q78" s="35"/>
    </row>
    <row customHeight="true" ht="19" r="79">
      <c r="A79" s="34">
        <v>77</v>
      </c>
      <c r="B79" s="31" t="str">
        <v>浙江</v>
      </c>
      <c r="C79" s="37" t="str">
        <v>系统运行费折价</v>
      </c>
      <c r="D79" s="32">
        <f>'分表8-2025三类细分价'!D196</f>
      </c>
      <c r="E79" s="32">
        <f>'分表8-2025三类细分价'!E196</f>
      </c>
      <c r="F79" s="32">
        <f>'分表8-2025三类细分价'!F196</f>
      </c>
      <c r="G79" s="32">
        <f>'分表8-2025三类细分价'!G196</f>
      </c>
      <c r="H79" s="32">
        <f>'分表8-2025三类细分价'!H196</f>
      </c>
      <c r="I79" s="32">
        <f>'分表8-2025三类细分价'!I196</f>
      </c>
      <c r="J79" s="32">
        <f>'分表8-2025三类细分价'!J196</f>
      </c>
      <c r="K79" s="32">
        <f>'分表8-2025三类细分价'!K196</f>
      </c>
      <c r="L79" s="32">
        <f>'分表8-2025三类细分价'!L196</f>
      </c>
      <c r="M79" s="32">
        <f>'分表8-2025三类细分价'!M196</f>
      </c>
      <c r="N79" s="32">
        <f>'分表8-2025三类细分价'!N196</f>
      </c>
      <c r="O79" s="32">
        <f>'分表8-2025三类细分价'!O196</f>
      </c>
      <c r="P79" s="36">
        <f>IF(SUM(D79:O79)=0,"0",AVERAGEIF(D79:O79,"&lt;&gt;0",D79:O79))</f>
      </c>
      <c r="Q79" s="35"/>
    </row>
    <row customHeight="true" ht="19" r="80">
      <c r="A80" s="34">
        <v>78</v>
      </c>
      <c r="B80" s="31" t="str">
        <v>浙江</v>
      </c>
      <c r="C80" s="37" t="str">
        <v>综合平段电价--电网代购</v>
      </c>
      <c r="D80" s="36">
        <f>IF(D77="/","/",SUM(D75:D79))</f>
      </c>
      <c r="E80" s="36">
        <f>IF(E77="/","/",SUM(E75:E79))</f>
      </c>
      <c r="F80" s="36">
        <f>IF(F77="/","/",SUM(F75:F79))</f>
      </c>
      <c r="G80" s="36">
        <f>IF(G77="/","/",SUM(G75:G79))</f>
      </c>
      <c r="H80" s="36">
        <f>IF(H77="/","/",SUM(H75:H79))</f>
      </c>
      <c r="I80" s="36">
        <f>IF(I77="/","/",SUM(I75:I79))</f>
      </c>
      <c r="J80" s="36">
        <f>IF(J77="/","/",SUM(J75:J79))</f>
      </c>
      <c r="K80" s="36">
        <f>IF(K77="/","/",SUM(K75:K79))</f>
      </c>
      <c r="L80" s="36">
        <f>IF(L77="/","/",SUM(L75:L79))</f>
      </c>
      <c r="M80" s="36">
        <f>IF(M77="/","/",SUM(M75:M79))</f>
      </c>
      <c r="N80" s="36">
        <f>IF(N77="/","/",SUM(N75:N79))</f>
      </c>
      <c r="O80" s="36">
        <f>IF(O77="/","/",SUM(O75:O79))</f>
      </c>
      <c r="P80" s="36">
        <f>IF(SUM(D80:O80)=0,"0",AVERAGEIF(D80:O80,"&lt;&gt;0",D80:O80))</f>
      </c>
      <c r="Q80" s="35"/>
    </row>
    <row customHeight="true" ht="19" r="81">
      <c r="A81" s="34">
        <v>79</v>
      </c>
      <c r="B81" s="31" t="str">
        <v>浙江</v>
      </c>
      <c r="C81" s="37" t="str">
        <v>入市交易购电价格</v>
      </c>
      <c r="D81" s="32">
        <f>'分表9-2025交易价格'!D11</f>
      </c>
      <c r="E81" s="32">
        <f>'分表9-2025交易价格'!E11</f>
      </c>
      <c r="F81" s="32">
        <f>'分表9-2025交易价格'!F11</f>
      </c>
      <c r="G81" s="32">
        <f>'分表9-2025交易价格'!G11</f>
      </c>
      <c r="H81" s="32">
        <f>'分表9-2025交易价格'!H11</f>
      </c>
      <c r="I81" s="32">
        <f>'分表9-2025交易价格'!I11</f>
      </c>
      <c r="J81" s="32">
        <f>'分表9-2025交易价格'!J11</f>
      </c>
      <c r="K81" s="32">
        <f>'分表9-2025交易价格'!K11</f>
      </c>
      <c r="L81" s="32">
        <f>'分表9-2025交易价格'!L11</f>
      </c>
      <c r="M81" s="32">
        <f>'分表9-2025交易价格'!M11</f>
      </c>
      <c r="N81" s="32">
        <f>'分表9-2025交易价格'!N11</f>
      </c>
      <c r="O81" s="32">
        <f>'分表9-2025交易价格'!O11</f>
      </c>
      <c r="P81" s="36">
        <f>IF(SUM(D81:O81)=0,"0",AVERAGEIF(D81:O81,"&lt;&gt;0",D81:O81))</f>
      </c>
      <c r="Q81" s="35"/>
    </row>
    <row customHeight="true" ht="19" r="82">
      <c r="A82" s="34">
        <v>80</v>
      </c>
      <c r="B82" s="31" t="str">
        <v>浙江</v>
      </c>
      <c r="C82" s="37" t="str">
        <v>综合平段电价--入市交易</v>
      </c>
      <c r="D82" s="36">
        <f>IF(D77="/","/",IF(D81&gt;0,D81+SUM(D76:D79),"/"))</f>
      </c>
      <c r="E82" s="36">
        <f>IF(E77="/","/",IF(E81&gt;0,E81+SUM(E76:E79),"/"))</f>
      </c>
      <c r="F82" s="36">
        <f>IF(F77="/","/",IF(F81&gt;0,F81+SUM(F76:F79),"/"))</f>
      </c>
      <c r="G82" s="36">
        <f>IF(G77="/","/",IF(G81&gt;0,G81+SUM(G76:G79),"/"))</f>
      </c>
      <c r="H82" s="36">
        <f>IF(H77="/","/",IF(H81&gt;0,H81+SUM(H76:H79),"/"))</f>
      </c>
      <c r="I82" s="36">
        <f>IF(I77="/","/",IF(I81&gt;0,I81+SUM(I76:I79),"/"))</f>
      </c>
      <c r="J82" s="36">
        <f>IF(J77="/","/",IF(J81&gt;0,J81+SUM(J76:J79),"/"))</f>
      </c>
      <c r="K82" s="36">
        <f>IF(K77="/","/",IF(K81&gt;0,K81+SUM(K76:K79),"/"))</f>
      </c>
      <c r="L82" s="36">
        <f>IF(L77="/","/",IF(L81&gt;0,L81+SUM(L76:L79),"/"))</f>
      </c>
      <c r="M82" s="36">
        <f>IF(M77="/","/",IF(M81&gt;0,M81+SUM(M76:M79),"/"))</f>
      </c>
      <c r="N82" s="36">
        <f>IF(N77="/","/",IF(N81&gt;0,N81+SUM(N76:N79),"/"))</f>
      </c>
      <c r="O82" s="36">
        <f>IF(O77="/","/",IF(O81&gt;0,O81+SUM(O76:O79),"/"))</f>
      </c>
      <c r="P82" s="36">
        <f>IF(SUM(D82:O82)=0,"0",AVERAGEIF(D82:O82,"&lt;&gt;0",D82:O82))</f>
      </c>
      <c r="Q82" s="35"/>
    </row>
    <row customHeight="true" ht="19" r="83">
      <c r="A83" s="34">
        <v>81</v>
      </c>
      <c r="B83" s="40" t="str">
        <v>安徽</v>
      </c>
      <c r="C83" s="39" t="str">
        <v>代理购电价格</v>
      </c>
      <c r="D83" s="34">
        <f>'分表8-2025三类细分价'!D213</f>
      </c>
      <c r="E83" s="34">
        <f>'分表8-2025三类细分价'!E213</f>
      </c>
      <c r="F83" s="34">
        <f>'分表8-2025三类细分价'!F213</f>
      </c>
      <c r="G83" s="34">
        <f>'分表8-2025三类细分价'!G213</f>
      </c>
      <c r="H83" s="34">
        <f>'分表8-2025三类细分价'!H213</f>
      </c>
      <c r="I83" s="34">
        <f>'分表8-2025三类细分价'!I213</f>
      </c>
      <c r="J83" s="34">
        <f>'分表8-2025三类细分价'!J213</f>
      </c>
      <c r="K83" s="34">
        <f>'分表8-2025三类细分价'!K213</f>
      </c>
      <c r="L83" s="34">
        <f>'分表8-2025三类细分价'!L213</f>
      </c>
      <c r="M83" s="34">
        <f>'分表8-2025三类细分价'!M213</f>
      </c>
      <c r="N83" s="34">
        <f>'分表8-2025三类细分价'!N213</f>
      </c>
      <c r="O83" s="34">
        <f>'分表8-2025三类细分价'!O213</f>
      </c>
      <c r="P83" s="34">
        <f>IF(SUM(D83:O83)=0,"0",AVERAGEIF(D83:O83,"&lt;&gt;0",D83:O83))</f>
      </c>
      <c r="Q83" s="38"/>
    </row>
    <row customHeight="true" ht="19" r="84">
      <c r="A84" s="34">
        <v>82</v>
      </c>
      <c r="B84" s="40" t="str">
        <v>安徽</v>
      </c>
      <c r="C84" s="39" t="str">
        <v>上网环节线损电价</v>
      </c>
      <c r="D84" s="34">
        <f>'分表8-2025三类细分价'!D216</f>
      </c>
      <c r="E84" s="34">
        <f>'分表8-2025三类细分价'!E216</f>
      </c>
      <c r="F84" s="34">
        <f>'分表8-2025三类细分价'!F216</f>
      </c>
      <c r="G84" s="34">
        <f>'分表8-2025三类细分价'!G216</f>
      </c>
      <c r="H84" s="34">
        <f>'分表8-2025三类细分价'!H216</f>
      </c>
      <c r="I84" s="34">
        <f>'分表8-2025三类细分价'!I216</f>
      </c>
      <c r="J84" s="34">
        <f>'分表8-2025三类细分价'!J216</f>
      </c>
      <c r="K84" s="34">
        <f>'分表8-2025三类细分价'!K216</f>
      </c>
      <c r="L84" s="34">
        <f>'分表8-2025三类细分价'!L216</f>
      </c>
      <c r="M84" s="34">
        <f>'分表8-2025三类细分价'!M216</f>
      </c>
      <c r="N84" s="34">
        <f>'分表8-2025三类细分价'!N216</f>
      </c>
      <c r="O84" s="34">
        <f>'分表8-2025三类细分价'!O216</f>
      </c>
      <c r="P84" s="34">
        <f>IF(SUM(D84:O84)=0,"0",AVERAGEIF(D84:O84,"&lt;&gt;0",D84:O84))</f>
      </c>
      <c r="Q84" s="38"/>
    </row>
    <row customHeight="true" ht="19" r="85">
      <c r="A85" s="34">
        <v>83</v>
      </c>
      <c r="B85" s="40" t="str">
        <v>安徽</v>
      </c>
      <c r="C85" s="39" t="str">
        <v>电度输配电价</v>
      </c>
      <c r="D85" s="34" cm="1">
        <f t="array" ref="D85:D85">_xlfn.XLOOKUP($C$1,'分表4-电度输配电价'!$C82：'分表4-电度输配电价'!$C89&amp;'分表4-电度输配电价'!$D82：'分表4-电度输配电价'!$D89,'分表4-电度输配电价'!$E82：'分表4-电度输配电价'!$E89)</f>
      </c>
      <c r="E85" s="34" cm="1">
        <f t="array" ref="E85:E85">_xlfn.XLOOKUP($C$1,'分表4-电度输配电价'!$C82：'分表4-电度输配电价'!$C89&amp;'分表4-电度输配电价'!$D82：'分表4-电度输配电价'!$D89,'分表4-电度输配电价'!$E82：'分表4-电度输配电价'!$E89)</f>
      </c>
      <c r="F85" s="34" cm="1">
        <f t="array" ref="F85:F85">_xlfn.XLOOKUP($C$1,'分表4-电度输配电价'!$C82：'分表4-电度输配电价'!$C89&amp;'分表4-电度输配电价'!$D82：'分表4-电度输配电价'!$D89,'分表4-电度输配电价'!$E82：'分表4-电度输配电价'!$E89)</f>
      </c>
      <c r="G85" s="34" cm="1">
        <f t="array" ref="G85:G85">_xlfn.XLOOKUP($C$1,'分表4-电度输配电价'!$C82：'分表4-电度输配电价'!$C89&amp;'分表4-电度输配电价'!$D82：'分表4-电度输配电价'!$D89,'分表4-电度输配电价'!$E82：'分表4-电度输配电价'!$E89)</f>
      </c>
      <c r="H85" s="34" cm="1">
        <f t="array" ref="H85:H85">_xlfn.XLOOKUP($C$1,'分表4-电度输配电价'!$C82：'分表4-电度输配电价'!$C89&amp;'分表4-电度输配电价'!$D82：'分表4-电度输配电价'!$D89,'分表4-电度输配电价'!$E82：'分表4-电度输配电价'!$E89)</f>
      </c>
      <c r="I85" s="34" cm="1">
        <f t="array" ref="I85:I85">_xlfn.XLOOKUP($C$1,'分表4-电度输配电价'!$C82：'分表4-电度输配电价'!$C89&amp;'分表4-电度输配电价'!$D82：'分表4-电度输配电价'!$D89,'分表4-电度输配电价'!$E82：'分表4-电度输配电价'!$E89)</f>
      </c>
      <c r="J85" s="34" cm="1">
        <f t="array" ref="J85:J85">_xlfn.XLOOKUP($C$1,'分表4-电度输配电价'!$C82：'分表4-电度输配电价'!$C89&amp;'分表4-电度输配电价'!$D82：'分表4-电度输配电价'!$D89,'分表4-电度输配电价'!$E82：'分表4-电度输配电价'!$E89)</f>
      </c>
      <c r="K85" s="34" cm="1">
        <f t="array" ref="K85:K85">_xlfn.XLOOKUP($C$1,'分表4-电度输配电价'!$C82：'分表4-电度输配电价'!$C89&amp;'分表4-电度输配电价'!$D82：'分表4-电度输配电价'!$D89,'分表4-电度输配电价'!$E82：'分表4-电度输配电价'!$E89)</f>
      </c>
      <c r="L85" s="34" cm="1">
        <f t="array" ref="L85:L85">_xlfn.XLOOKUP($C$1,'分表4-电度输配电价'!$C82：'分表4-电度输配电价'!$C89&amp;'分表4-电度输配电价'!$D82：'分表4-电度输配电价'!$D89,'分表4-电度输配电价'!$E82：'分表4-电度输配电价'!$E89)</f>
      </c>
      <c r="M85" s="34" cm="1">
        <f t="array" ref="M85:M85">_xlfn.XLOOKUP($C$1,'分表4-电度输配电价'!$C82：'分表4-电度输配电价'!$C89&amp;'分表4-电度输配电价'!$D82：'分表4-电度输配电价'!$D89,'分表4-电度输配电价'!$E82：'分表4-电度输配电价'!$E89)</f>
      </c>
      <c r="N85" s="34" cm="1">
        <f t="array" ref="N85:N85">_xlfn.XLOOKUP($C$1,'分表4-电度输配电价'!$C82：'分表4-电度输配电价'!$C89&amp;'分表4-电度输配电价'!$D82：'分表4-电度输配电价'!$D89,'分表4-电度输配电价'!$E82：'分表4-电度输配电价'!$E89)</f>
      </c>
      <c r="O85" s="34" cm="1">
        <f t="array" ref="O85:O85">_xlfn.XLOOKUP($C$1,'分表4-电度输配电价'!$C82：'分表4-电度输配电价'!$C89&amp;'分表4-电度输配电价'!$D82：'分表4-电度输配电价'!$D89,'分表4-电度输配电价'!$E82：'分表4-电度输配电价'!$E89)</f>
      </c>
      <c r="P85" s="34">
        <f>IF(SUM(D85:O85)=0,"0",AVERAGEIF(D85:O85,"&lt;&gt;0",D85:O85))</f>
      </c>
      <c r="Q85" s="38"/>
    </row>
    <row customHeight="true" ht="19" r="86">
      <c r="A86" s="34">
        <v>84</v>
      </c>
      <c r="B86" s="40" t="str">
        <v>安徽</v>
      </c>
      <c r="C86" s="39" t="str">
        <v>政府性基金及附加</v>
      </c>
      <c r="D86" s="34" cm="1">
        <f t="array" ref="D86:D86">_xlfn.XLOOKUP($B$86,'分表5-政府性基金及附加'!$B$2：'分表5-政府性基金及附加'!$B$199,'分表5-政府性基金及附加'!$D$2：'分表5-政府性基金及附加'!$D$199)</f>
      </c>
      <c r="E86" s="34" cm="1">
        <f t="array" ref="E86:E86">_xlfn.XLOOKUP($B$86,'分表5-政府性基金及附加'!$B$2：'分表5-政府性基金及附加'!$B$199,'分表5-政府性基金及附加'!$D$2：'分表5-政府性基金及附加'!$D$199)</f>
      </c>
      <c r="F86" s="34" cm="1">
        <f t="array" ref="F86:F86">_xlfn.XLOOKUP($B$86,'分表5-政府性基金及附加'!$B$2：'分表5-政府性基金及附加'!$B$199,'分表5-政府性基金及附加'!$D$2：'分表5-政府性基金及附加'!$D$199)</f>
      </c>
      <c r="G86" s="34" cm="1">
        <f t="array" ref="G86:G86">_xlfn.XLOOKUP($B$86,'分表5-政府性基金及附加'!$B$2：'分表5-政府性基金及附加'!$B$199,'分表5-政府性基金及附加'!$D$2：'分表5-政府性基金及附加'!$D$199)</f>
      </c>
      <c r="H86" s="34" cm="1">
        <f t="array" ref="H86:H86">_xlfn.XLOOKUP($B$86,'分表5-政府性基金及附加'!$B$2：'分表5-政府性基金及附加'!$B$199,'分表5-政府性基金及附加'!$D$2：'分表5-政府性基金及附加'!$D$199)</f>
      </c>
      <c r="I86" s="34" cm="1">
        <f t="array" ref="I86:I86">_xlfn.XLOOKUP($B$86,'分表5-政府性基金及附加'!$B$2：'分表5-政府性基金及附加'!$B$199,'分表5-政府性基金及附加'!$D$2：'分表5-政府性基金及附加'!$D$199)</f>
      </c>
      <c r="J86" s="34" cm="1">
        <f t="array" ref="J86:J86">_xlfn.XLOOKUP($B$86,'分表5-政府性基金及附加'!$B$2：'分表5-政府性基金及附加'!$B$199,'分表5-政府性基金及附加'!$D$2：'分表5-政府性基金及附加'!$D$199)</f>
      </c>
      <c r="K86" s="34" cm="1">
        <f t="array" ref="K86:K86">_xlfn.XLOOKUP($B$86,'分表5-政府性基金及附加'!$B$2：'分表5-政府性基金及附加'!$B$199,'分表5-政府性基金及附加'!$D$2：'分表5-政府性基金及附加'!$D$199)</f>
      </c>
      <c r="L86" s="34" cm="1">
        <f t="array" ref="L86:L86">_xlfn.XLOOKUP($B$86,'分表5-政府性基金及附加'!$B$2：'分表5-政府性基金及附加'!$B$199,'分表5-政府性基金及附加'!$D$2：'分表5-政府性基金及附加'!$D$199)</f>
      </c>
      <c r="M86" s="34" cm="1">
        <f t="array" ref="M86:M86">_xlfn.XLOOKUP($B$86,'分表5-政府性基金及附加'!$B$2：'分表5-政府性基金及附加'!$B$199,'分表5-政府性基金及附加'!$D$2：'分表5-政府性基金及附加'!$D$199)</f>
      </c>
      <c r="N86" s="34" cm="1">
        <f t="array" ref="N86:N86">_xlfn.XLOOKUP($B$86,'分表5-政府性基金及附加'!$B$2：'分表5-政府性基金及附加'!$B$199,'分表5-政府性基金及附加'!$D$2：'分表5-政府性基金及附加'!$D$199)</f>
      </c>
      <c r="O86" s="34" cm="1">
        <f t="array" ref="O86:O86">_xlfn.XLOOKUP($B$86,'分表5-政府性基金及附加'!$B$2：'分表5-政府性基金及附加'!$B$199,'分表5-政府性基金及附加'!$D$2：'分表5-政府性基金及附加'!$D$199)</f>
      </c>
      <c r="P86" s="34">
        <f>IF(SUM(D86:O86)=0,"0",AVERAGEIF(D86:O86,"&lt;&gt;0",D86:O86))</f>
      </c>
      <c r="Q86" s="38"/>
    </row>
    <row r="87">
      <c r="A87" s="34">
        <v>85</v>
      </c>
      <c r="B87" s="40" t="str">
        <v>安徽</v>
      </c>
      <c r="C87" s="39" t="str">
        <v>系统运行费折价</v>
      </c>
      <c r="D87" s="34">
        <f>'分表8-2025三类细分价'!D217</f>
      </c>
      <c r="E87" s="34">
        <f>'分表8-2025三类细分价'!E217</f>
      </c>
      <c r="F87" s="34">
        <f>'分表8-2025三类细分价'!F217</f>
      </c>
      <c r="G87" s="34">
        <f>'分表8-2025三类细分价'!G217</f>
      </c>
      <c r="H87" s="34">
        <f>'分表8-2025三类细分价'!H217</f>
      </c>
      <c r="I87" s="34">
        <f>'分表8-2025三类细分价'!I217</f>
      </c>
      <c r="J87" s="34">
        <f>'分表8-2025三类细分价'!J217</f>
      </c>
      <c r="K87" s="34">
        <f>'分表8-2025三类细分价'!K217</f>
      </c>
      <c r="L87" s="34">
        <f>'分表8-2025三类细分价'!L217</f>
      </c>
      <c r="M87" s="34">
        <f>'分表8-2025三类细分价'!M217</f>
      </c>
      <c r="N87" s="34">
        <f>'分表8-2025三类细分价'!N217</f>
      </c>
      <c r="O87" s="34">
        <f>'分表8-2025三类细分价'!O217</f>
      </c>
      <c r="P87" s="34">
        <f>IF(SUM(D87:O87)=0,"0",AVERAGEIF(D87:O87,"&lt;&gt;0",D87:O87))</f>
      </c>
      <c r="Q87" s="38"/>
    </row>
    <row customHeight="true" ht="19" r="88">
      <c r="A88" s="34">
        <v>86</v>
      </c>
      <c r="B88" s="40" t="str">
        <v>安徽</v>
      </c>
      <c r="C88" s="39" t="str">
        <v>综合平段电价--电网代购</v>
      </c>
      <c r="D88" s="34">
        <f>IF(D85="/","/",SUM(D83:D87))</f>
      </c>
      <c r="E88" s="34">
        <f>IF(E85="/","/",SUM(E83:E87))</f>
      </c>
      <c r="F88" s="34">
        <f>IF(F85="/","/",SUM(F83:F87))</f>
      </c>
      <c r="G88" s="34">
        <f>IF(G85="/","/",SUM(G83:G87))</f>
      </c>
      <c r="H88" s="34">
        <f>IF(H85="/","/",SUM(H83:H87))</f>
      </c>
      <c r="I88" s="34">
        <f>IF(I85="/","/",SUM(I83:I87))</f>
      </c>
      <c r="J88" s="34">
        <f>IF(J85="/","/",SUM(J83:J87))</f>
      </c>
      <c r="K88" s="34">
        <f>IF(K85="/","/",SUM(K83:K87))</f>
      </c>
      <c r="L88" s="34">
        <f>IF(L85="/","/",SUM(L83:L87))</f>
      </c>
      <c r="M88" s="34">
        <f>IF(M85="/","/",SUM(M83:M87))</f>
      </c>
      <c r="N88" s="34">
        <f>IF(N85="/","/",SUM(N83:N87))</f>
      </c>
      <c r="O88" s="34">
        <f>IF(O85="/","/",SUM(O83:O87))</f>
      </c>
      <c r="P88" s="34">
        <f>IF(SUM(D88:O88)=0,"0",AVERAGEIF(D88:O88,"&lt;&gt;0",D88:O88))</f>
      </c>
      <c r="Q88" s="38"/>
    </row>
    <row r="89">
      <c r="A89" s="34">
        <v>87</v>
      </c>
      <c r="B89" s="40" t="str">
        <v>安徽</v>
      </c>
      <c r="C89" s="39" t="str">
        <v>入市交易购电价格</v>
      </c>
      <c r="D89" s="34">
        <f>'分表9-2025交易价格'!D12</f>
      </c>
      <c r="E89" s="34">
        <f>'分表9-2025交易价格'!E12</f>
      </c>
      <c r="F89" s="34">
        <f>'分表9-2025交易价格'!F12</f>
      </c>
      <c r="G89" s="34">
        <f>'分表9-2025交易价格'!G12</f>
      </c>
      <c r="H89" s="34">
        <f>'分表9-2025交易价格'!H12</f>
      </c>
      <c r="I89" s="34">
        <f>'分表9-2025交易价格'!I12</f>
      </c>
      <c r="J89" s="34">
        <f>'分表9-2025交易价格'!J12</f>
      </c>
      <c r="K89" s="34">
        <f>'分表9-2025交易价格'!K12</f>
      </c>
      <c r="L89" s="34">
        <f>'分表9-2025交易价格'!L12</f>
      </c>
      <c r="M89" s="34">
        <f>'分表9-2025交易价格'!M12</f>
      </c>
      <c r="N89" s="34">
        <f>'分表9-2025交易价格'!N12</f>
      </c>
      <c r="O89" s="34">
        <f>'分表9-2025交易价格'!O12</f>
      </c>
      <c r="P89" s="34">
        <f>IF(SUM(D89:O89)=0,"0",AVERAGEIF(D89:O89,"&lt;&gt;0",D89:O89))</f>
      </c>
      <c r="Q89" s="38"/>
    </row>
    <row r="90">
      <c r="A90" s="34">
        <v>88</v>
      </c>
      <c r="B90" s="40" t="str">
        <v>安徽</v>
      </c>
      <c r="C90" s="39" t="str">
        <v>综合平段电价--入市交易</v>
      </c>
      <c r="D90" s="34">
        <f>IF(D85="/","/",IF(D89&gt;0,D89+SUM(D84:D87),"/"))</f>
      </c>
      <c r="E90" s="34">
        <f>IF(E85="/","/",IF(E89&gt;0,E89+SUM(E84:E87),"/"))</f>
      </c>
      <c r="F90" s="34">
        <f>IF(F85="/","/",IF(F89&gt;0,F89+SUM(F84:F87),"/"))</f>
      </c>
      <c r="G90" s="34">
        <f>IF(G85="/","/",IF(G89&gt;0,G89+SUM(G84:G87),"/"))</f>
      </c>
      <c r="H90" s="34">
        <f>IF(H85="/","/",IF(H89&gt;0,H89+SUM(H84:H87),"/"))</f>
      </c>
      <c r="I90" s="34">
        <f>IF(I85="/","/",IF(I89&gt;0,I89+SUM(I84:I87),"/"))</f>
      </c>
      <c r="J90" s="34">
        <f>IF(J85="/","/",IF(J89&gt;0,J89+SUM(J84:J87),"/"))</f>
      </c>
      <c r="K90" s="34">
        <f>IF(K85="/","/",IF(K89&gt;0,K89+SUM(K84:K87),"/"))</f>
      </c>
      <c r="L90" s="34">
        <f>IF(L85="/","/",IF(L89&gt;0,L89+SUM(L84:L87),"/"))</f>
      </c>
      <c r="M90" s="34">
        <f>IF(M85="/","/",IF(M89&gt;0,M89+SUM(M84:M87),"/"))</f>
      </c>
      <c r="N90" s="34">
        <f>IF(N85="/","/",IF(N89&gt;0,N89+SUM(N84:N87),"/"))</f>
      </c>
      <c r="O90" s="34">
        <f>IF(O85="/","/",IF(O89&gt;0,O89+SUM(O84:O87),"/"))</f>
      </c>
      <c r="P90" s="34">
        <f>IF(SUM(D90:O90)=0,"0",AVERAGEIF(D90:O90,"&lt;&gt;0",D90:O90))</f>
      </c>
      <c r="Q90" s="38"/>
    </row>
    <row r="91">
      <c r="A91" s="34">
        <v>89</v>
      </c>
      <c r="B91" s="31" t="str">
        <v>福建</v>
      </c>
      <c r="C91" s="37" t="str">
        <v>代理购电价格</v>
      </c>
      <c r="D91" s="36">
        <f>'分表8-2025三类细分价'!D234</f>
      </c>
      <c r="E91" s="36">
        <f>'分表8-2025三类细分价'!E234</f>
      </c>
      <c r="F91" s="36">
        <f>'分表8-2025三类细分价'!F234</f>
      </c>
      <c r="G91" s="36">
        <f>'分表8-2025三类细分价'!G234</f>
      </c>
      <c r="H91" s="36">
        <f>'分表8-2025三类细分价'!H234</f>
      </c>
      <c r="I91" s="36">
        <f>'分表8-2025三类细分价'!I234</f>
      </c>
      <c r="J91" s="36">
        <f>'分表8-2025三类细分价'!J234</f>
      </c>
      <c r="K91" s="36">
        <f>'分表8-2025三类细分价'!K234</f>
      </c>
      <c r="L91" s="36">
        <f>'分表8-2025三类细分价'!L234</f>
      </c>
      <c r="M91" s="36">
        <f>'分表8-2025三类细分价'!M234</f>
      </c>
      <c r="N91" s="36">
        <f>'分表8-2025三类细分价'!N234</f>
      </c>
      <c r="O91" s="36">
        <f>'分表8-2025三类细分价'!O234</f>
      </c>
      <c r="P91" s="36">
        <f>IF(SUM(D91:O91)=0,"0",AVERAGEIF(D91:O91,"&lt;&gt;0",D91:O91))</f>
      </c>
      <c r="Q91" s="35"/>
    </row>
    <row r="92">
      <c r="A92" s="34">
        <v>90</v>
      </c>
      <c r="B92" s="31" t="str">
        <v>福建</v>
      </c>
      <c r="C92" s="37" t="str">
        <v>上网环节线损电价</v>
      </c>
      <c r="D92" s="32">
        <f>'分表8-2025三类细分价'!D237</f>
      </c>
      <c r="E92" s="32">
        <f>'分表8-2025三类细分价'!E237</f>
      </c>
      <c r="F92" s="32">
        <f>'分表8-2025三类细分价'!F237</f>
      </c>
      <c r="G92" s="32">
        <f>'分表8-2025三类细分价'!G237</f>
      </c>
      <c r="H92" s="32">
        <f>'分表8-2025三类细分价'!H237</f>
      </c>
      <c r="I92" s="32">
        <f>'分表8-2025三类细分价'!I237</f>
      </c>
      <c r="J92" s="32">
        <f>'分表8-2025三类细分价'!J237</f>
      </c>
      <c r="K92" s="32">
        <f>'分表8-2025三类细分价'!K237</f>
      </c>
      <c r="L92" s="32">
        <f>'分表8-2025三类细分价'!L237</f>
      </c>
      <c r="M92" s="32">
        <f>'分表8-2025三类细分价'!M237</f>
      </c>
      <c r="N92" s="32">
        <f>'分表8-2025三类细分价'!N237</f>
      </c>
      <c r="O92" s="32">
        <f>'分表8-2025三类细分价'!O237</f>
      </c>
      <c r="P92" s="36">
        <f>IF(SUM(D92:O92)=0,"0",AVERAGEIF(D92:O92,"&lt;&gt;0",D92:O92))</f>
      </c>
      <c r="Q92" s="35"/>
    </row>
    <row r="93">
      <c r="A93" s="34">
        <v>91</v>
      </c>
      <c r="B93" s="31" t="str">
        <v>福建</v>
      </c>
      <c r="C93" s="37" t="str">
        <v>电度输配电价</v>
      </c>
      <c r="D93" s="36" cm="1">
        <f t="array" ref="D93:D93">_xlfn.XLOOKUP($C$1,'分表4-电度输配电价'!$C90：'分表4-电度输配电价'!$C97&amp;'分表4-电度输配电价'!$D90：'分表4-电度输配电价'!$D97,'分表4-电度输配电价'!$E90：'分表4-电度输配电价'!$E97)</f>
      </c>
      <c r="E93" s="36" cm="1">
        <f t="array" ref="E93:E93">_xlfn.XLOOKUP($C$1,'分表4-电度输配电价'!$C90：'分表4-电度输配电价'!$C97&amp;'分表4-电度输配电价'!$D90：'分表4-电度输配电价'!$D97,'分表4-电度输配电价'!$E90：'分表4-电度输配电价'!$E97)</f>
      </c>
      <c r="F93" s="36" cm="1">
        <f t="array" ref="F93:F93">_xlfn.XLOOKUP($C$1,'分表4-电度输配电价'!$C90：'分表4-电度输配电价'!$C97&amp;'分表4-电度输配电价'!$D90：'分表4-电度输配电价'!$D97,'分表4-电度输配电价'!$E90：'分表4-电度输配电价'!$E97)</f>
      </c>
      <c r="G93" s="36" cm="1">
        <f t="array" ref="G93:G93">_xlfn.XLOOKUP($C$1,'分表4-电度输配电价'!$C90：'分表4-电度输配电价'!$C97&amp;'分表4-电度输配电价'!$D90：'分表4-电度输配电价'!$D97,'分表4-电度输配电价'!$E90：'分表4-电度输配电价'!$E97)</f>
      </c>
      <c r="H93" s="36" cm="1">
        <f t="array" ref="H93:H93">_xlfn.XLOOKUP($C$1,'分表4-电度输配电价'!$C90：'分表4-电度输配电价'!$C97&amp;'分表4-电度输配电价'!$D90：'分表4-电度输配电价'!$D97,'分表4-电度输配电价'!$E90：'分表4-电度输配电价'!$E97)</f>
      </c>
      <c r="I93" s="36" cm="1">
        <f t="array" ref="I93:I93">_xlfn.XLOOKUP($C$1,'分表4-电度输配电价'!$C90：'分表4-电度输配电价'!$C97&amp;'分表4-电度输配电价'!$D90：'分表4-电度输配电价'!$D97,'分表4-电度输配电价'!$E90：'分表4-电度输配电价'!$E97)</f>
      </c>
      <c r="J93" s="36" cm="1">
        <f t="array" ref="J93:J93">_xlfn.XLOOKUP($C$1,'分表4-电度输配电价'!$C90：'分表4-电度输配电价'!$C97&amp;'分表4-电度输配电价'!$D90：'分表4-电度输配电价'!$D97,'分表4-电度输配电价'!$E90：'分表4-电度输配电价'!$E97)</f>
      </c>
      <c r="K93" s="36" cm="1">
        <f t="array" ref="K93:K93">_xlfn.XLOOKUP($C$1,'分表4-电度输配电价'!$C90：'分表4-电度输配电价'!$C97&amp;'分表4-电度输配电价'!$D90：'分表4-电度输配电价'!$D97,'分表4-电度输配电价'!$E90：'分表4-电度输配电价'!$E97)</f>
      </c>
      <c r="L93" s="36" cm="1">
        <f t="array" ref="L93:L93">_xlfn.XLOOKUP($C$1,'分表4-电度输配电价'!$C90：'分表4-电度输配电价'!$C97&amp;'分表4-电度输配电价'!$D90：'分表4-电度输配电价'!$D97,'分表4-电度输配电价'!$E90：'分表4-电度输配电价'!$E97)</f>
      </c>
      <c r="M93" s="36" cm="1">
        <f t="array" ref="M93:M93">_xlfn.XLOOKUP($C$1,'分表4-电度输配电价'!$C90：'分表4-电度输配电价'!$C97&amp;'分表4-电度输配电价'!$D90：'分表4-电度输配电价'!$D97,'分表4-电度输配电价'!$E90：'分表4-电度输配电价'!$E97)</f>
      </c>
      <c r="N93" s="36" cm="1">
        <f t="array" ref="N93:N93">_xlfn.XLOOKUP($C$1,'分表4-电度输配电价'!$C90：'分表4-电度输配电价'!$C97&amp;'分表4-电度输配电价'!$D90：'分表4-电度输配电价'!$D97,'分表4-电度输配电价'!$E90：'分表4-电度输配电价'!$E97)</f>
      </c>
      <c r="O93" s="36" cm="1">
        <f t="array" ref="O93:O93">_xlfn.XLOOKUP($C$1,'分表4-电度输配电价'!$C90：'分表4-电度输配电价'!$C97&amp;'分表4-电度输配电价'!$D90：'分表4-电度输配电价'!$D97,'分表4-电度输配电价'!$E90：'分表4-电度输配电价'!$E97)</f>
      </c>
      <c r="P93" s="36">
        <f>IF(SUM(D93:O93)=0,"0",AVERAGEIF(D93:O93,"&lt;&gt;0",D93:O93))</f>
      </c>
      <c r="Q93" s="35"/>
    </row>
    <row r="94">
      <c r="A94" s="34">
        <v>92</v>
      </c>
      <c r="B94" s="31" t="str">
        <v>福建</v>
      </c>
      <c r="C94" s="37" t="str">
        <v>政府性基金及附加</v>
      </c>
      <c r="D94" s="36" cm="1">
        <f t="array" ref="D94:D94">_xlfn.XLOOKUP($B$94,'分表5-政府性基金及附加'!$B$2：'分表5-政府性基金及附加'!$B$199,'分表5-政府性基金及附加'!$D$2：'分表5-政府性基金及附加'!$D$199)</f>
      </c>
      <c r="E94" s="36" cm="1">
        <f t="array" ref="E94:E94">_xlfn.XLOOKUP($B$94,'分表5-政府性基金及附加'!$B$2：'分表5-政府性基金及附加'!$B$199,'分表5-政府性基金及附加'!$D$2：'分表5-政府性基金及附加'!$D$199)</f>
      </c>
      <c r="F94" s="36" cm="1">
        <f t="array" ref="F94:F94">_xlfn.XLOOKUP($B$94,'分表5-政府性基金及附加'!$B$2：'分表5-政府性基金及附加'!$B$199,'分表5-政府性基金及附加'!$D$2：'分表5-政府性基金及附加'!$D$199)</f>
      </c>
      <c r="G94" s="36" cm="1">
        <f t="array" ref="G94:G94">_xlfn.XLOOKUP($B$94,'分表5-政府性基金及附加'!$B$2：'分表5-政府性基金及附加'!$B$199,'分表5-政府性基金及附加'!$D$2：'分表5-政府性基金及附加'!$D$199)</f>
      </c>
      <c r="H94" s="36" cm="1">
        <f t="array" ref="H94:H94">_xlfn.XLOOKUP($B$94,'分表5-政府性基金及附加'!$B$2：'分表5-政府性基金及附加'!$B$199,'分表5-政府性基金及附加'!$D$2：'分表5-政府性基金及附加'!$D$199)</f>
      </c>
      <c r="I94" s="36" cm="1">
        <f t="array" ref="I94:I94">_xlfn.XLOOKUP($B$94,'分表5-政府性基金及附加'!$B$2：'分表5-政府性基金及附加'!$B$199,'分表5-政府性基金及附加'!$D$2：'分表5-政府性基金及附加'!$D$199)</f>
      </c>
      <c r="J94" s="36" cm="1">
        <f t="array" ref="J94:J94">_xlfn.XLOOKUP($B$94,'分表5-政府性基金及附加'!$B$2：'分表5-政府性基金及附加'!$B$199,'分表5-政府性基金及附加'!$D$2：'分表5-政府性基金及附加'!$D$199)</f>
      </c>
      <c r="K94" s="36" cm="1">
        <f t="array" ref="K94:K94">_xlfn.XLOOKUP($B$94,'分表5-政府性基金及附加'!$B$2：'分表5-政府性基金及附加'!$B$199,'分表5-政府性基金及附加'!$D$2：'分表5-政府性基金及附加'!$D$199)</f>
      </c>
      <c r="L94" s="36" cm="1">
        <f t="array" ref="L94:L94">_xlfn.XLOOKUP($B$94,'分表5-政府性基金及附加'!$B$2：'分表5-政府性基金及附加'!$B$199,'分表5-政府性基金及附加'!$D$2：'分表5-政府性基金及附加'!$D$199)</f>
      </c>
      <c r="M94" s="36" cm="1">
        <f t="array" ref="M94:M94">_xlfn.XLOOKUP($B$94,'分表5-政府性基金及附加'!$B$2：'分表5-政府性基金及附加'!$B$199,'分表5-政府性基金及附加'!$D$2：'分表5-政府性基金及附加'!$D$199)</f>
      </c>
      <c r="N94" s="36" cm="1">
        <f t="array" ref="N94:N94">_xlfn.XLOOKUP($B$94,'分表5-政府性基金及附加'!$B$2：'分表5-政府性基金及附加'!$B$199,'分表5-政府性基金及附加'!$D$2：'分表5-政府性基金及附加'!$D$199)</f>
      </c>
      <c r="O94" s="36" cm="1">
        <f t="array" ref="O94:O94">_xlfn.XLOOKUP($B$94,'分表5-政府性基金及附加'!$B$2：'分表5-政府性基金及附加'!$B$199,'分表5-政府性基金及附加'!$D$2：'分表5-政府性基金及附加'!$D$199)</f>
      </c>
      <c r="P94" s="36">
        <f>IF(SUM(D94:O94)=0,"0",AVERAGEIF(D94:O94,"&lt;&gt;0",D94:O94))</f>
      </c>
      <c r="Q94" s="35"/>
    </row>
    <row r="95">
      <c r="A95" s="34">
        <v>93</v>
      </c>
      <c r="B95" s="31" t="str">
        <v>福建</v>
      </c>
      <c r="C95" s="37" t="str">
        <v>系统运行费折价</v>
      </c>
      <c r="D95" s="32">
        <f>'分表8-2025三类细分价'!D238</f>
      </c>
      <c r="E95" s="32">
        <f>'分表8-2025三类细分价'!E238</f>
      </c>
      <c r="F95" s="32">
        <f>'分表8-2025三类细分价'!F238</f>
      </c>
      <c r="G95" s="32">
        <f>'分表8-2025三类细分价'!G238</f>
      </c>
      <c r="H95" s="32">
        <f>'分表8-2025三类细分价'!H238</f>
      </c>
      <c r="I95" s="32">
        <f>'分表8-2025三类细分价'!I238</f>
      </c>
      <c r="J95" s="32">
        <f>'分表8-2025三类细分价'!J238</f>
      </c>
      <c r="K95" s="32">
        <f>'分表8-2025三类细分价'!K238</f>
      </c>
      <c r="L95" s="32">
        <f>'分表8-2025三类细分价'!L238</f>
      </c>
      <c r="M95" s="32">
        <f>'分表8-2025三类细分价'!M238</f>
      </c>
      <c r="N95" s="32">
        <f>'分表8-2025三类细分价'!N238</f>
      </c>
      <c r="O95" s="32">
        <f>'分表8-2025三类细分价'!O238</f>
      </c>
      <c r="P95" s="36">
        <f>IF(SUM(D95:O95)=0,"0",AVERAGEIF(D95:O95,"&lt;&gt;0",D95:O95))</f>
      </c>
      <c r="Q95" s="35"/>
    </row>
    <row r="96">
      <c r="A96" s="34">
        <v>94</v>
      </c>
      <c r="B96" s="31" t="str">
        <v>福建</v>
      </c>
      <c r="C96" s="37" t="str">
        <v>综合平段电价--电网代购</v>
      </c>
      <c r="D96" s="36">
        <f>IF(D93="/","/",SUM(D91:D95))</f>
      </c>
      <c r="E96" s="36">
        <f>IF(E93="/","/",SUM(E91:E95))</f>
      </c>
      <c r="F96" s="36">
        <f>IF(F93="/","/",SUM(F91:F95))</f>
      </c>
      <c r="G96" s="36">
        <f>IF(G93="/","/",SUM(G91:G95))</f>
      </c>
      <c r="H96" s="36">
        <f>IF(H93="/","/",SUM(H91:H95))</f>
      </c>
      <c r="I96" s="36">
        <f>IF(I93="/","/",SUM(I91:I95))</f>
      </c>
      <c r="J96" s="36">
        <f>IF(J93="/","/",SUM(J91:J95))</f>
      </c>
      <c r="K96" s="36">
        <f>IF(K93="/","/",SUM(K91:K95))</f>
      </c>
      <c r="L96" s="36">
        <f>IF(L93="/","/",SUM(L91:L95))</f>
      </c>
      <c r="M96" s="36">
        <f>IF(M93="/","/",SUM(M91:M95))</f>
      </c>
      <c r="N96" s="36">
        <f>IF(N93="/","/",SUM(N91:N95))</f>
      </c>
      <c r="O96" s="36">
        <f>IF(O93="/","/",SUM(O91:O95))</f>
      </c>
      <c r="P96" s="36">
        <f>IF(SUM(D96:O96)=0,"0",AVERAGEIF(D96:O96,"&lt;&gt;0",D96:O96))</f>
      </c>
      <c r="Q96" s="35"/>
    </row>
    <row r="97">
      <c r="A97" s="34">
        <v>95</v>
      </c>
      <c r="B97" s="31" t="str">
        <v>福建</v>
      </c>
      <c r="C97" s="37" t="str">
        <v>入市交易购电价格</v>
      </c>
      <c r="D97" s="32">
        <f>'分表9-2025交易价格'!D13</f>
      </c>
      <c r="E97" s="32">
        <f>'分表9-2025交易价格'!E13</f>
      </c>
      <c r="F97" s="32">
        <f>'分表9-2025交易价格'!F13</f>
      </c>
      <c r="G97" s="32">
        <f>'分表9-2025交易价格'!G13</f>
      </c>
      <c r="H97" s="32">
        <f>'分表9-2025交易价格'!H13</f>
      </c>
      <c r="I97" s="32">
        <f>'分表9-2025交易价格'!I13</f>
      </c>
      <c r="J97" s="32">
        <f>'分表9-2025交易价格'!J13</f>
      </c>
      <c r="K97" s="32">
        <f>'分表9-2025交易价格'!K13</f>
      </c>
      <c r="L97" s="32">
        <f>'分表9-2025交易价格'!L13</f>
      </c>
      <c r="M97" s="32">
        <f>'分表9-2025交易价格'!M13</f>
      </c>
      <c r="N97" s="32">
        <f>'分表9-2025交易价格'!N13</f>
      </c>
      <c r="O97" s="32">
        <f>'分表9-2025交易价格'!O13</f>
      </c>
      <c r="P97" s="36">
        <f>IF(SUM(D97:O97)=0,"0",AVERAGEIF(D97:O97,"&lt;&gt;0",D97:O97))</f>
      </c>
      <c r="Q97" s="35"/>
    </row>
    <row r="98">
      <c r="A98" s="34">
        <v>96</v>
      </c>
      <c r="B98" s="31" t="str">
        <v>福建</v>
      </c>
      <c r="C98" s="37" t="str">
        <v>综合平段电价--入市交易</v>
      </c>
      <c r="D98" s="36">
        <f>IF(D93="/","/",IF(D97&gt;0,D97+SUM(D92:D95),"/"))</f>
      </c>
      <c r="E98" s="36">
        <f>IF(E93="/","/",IF(E97&gt;0,E97+SUM(E92:E95),"/"))</f>
      </c>
      <c r="F98" s="36">
        <f>IF(F93="/","/",IF(F97&gt;0,F97+SUM(F92:F95),"/"))</f>
      </c>
      <c r="G98" s="36">
        <f>IF(G93="/","/",IF(G97&gt;0,G97+SUM(G92:G95),"/"))</f>
      </c>
      <c r="H98" s="36">
        <f>IF(H93="/","/",IF(H97&gt;0,H97+SUM(H92:H95),"/"))</f>
      </c>
      <c r="I98" s="36">
        <f>IF(I93="/","/",IF(I97&gt;0,I97+SUM(I92:I95),"/"))</f>
      </c>
      <c r="J98" s="36">
        <f>IF(J93="/","/",IF(J97&gt;0,J97+SUM(J92:J95),"/"))</f>
      </c>
      <c r="K98" s="36">
        <f>IF(K93="/","/",IF(K97&gt;0,K97+SUM(K92:K95),"/"))</f>
      </c>
      <c r="L98" s="36">
        <f>IF(L93="/","/",IF(L97&gt;0,L97+SUM(L92:L95),"/"))</f>
      </c>
      <c r="M98" s="36">
        <f>IF(M93="/","/",IF(M97&gt;0,M97+SUM(M92:M95),"/"))</f>
      </c>
      <c r="N98" s="36">
        <f>IF(N93="/","/",IF(N97&gt;0,N97+SUM(N92:N95),"/"))</f>
      </c>
      <c r="O98" s="36">
        <f>IF(O93="/","/",IF(O97&gt;0,O97+SUM(O92:O95),"/"))</f>
      </c>
      <c r="P98" s="36">
        <f>IF(SUM(D98:O98)=0,"0",AVERAGEIF(D98:O98,"&lt;&gt;0",D98:O98))</f>
      </c>
      <c r="Q98" s="35"/>
    </row>
    <row r="99">
      <c r="A99" s="34">
        <v>97</v>
      </c>
      <c r="B99" s="40" t="str">
        <v>湖北</v>
      </c>
      <c r="C99" s="39" t="str">
        <v>代理购电价格</v>
      </c>
      <c r="D99" s="34">
        <f>'分表8-2025三类细分价'!D255</f>
      </c>
      <c r="E99" s="34">
        <f>'分表8-2025三类细分价'!E255</f>
      </c>
      <c r="F99" s="34">
        <f>'分表8-2025三类细分价'!F255</f>
      </c>
      <c r="G99" s="34">
        <f>'分表8-2025三类细分价'!G255</f>
      </c>
      <c r="H99" s="34">
        <f>'分表8-2025三类细分价'!H255</f>
      </c>
      <c r="I99" s="34">
        <f>'分表8-2025三类细分价'!I255</f>
      </c>
      <c r="J99" s="34">
        <f>'分表8-2025三类细分价'!J255</f>
      </c>
      <c r="K99" s="34">
        <f>'分表8-2025三类细分价'!K255</f>
      </c>
      <c r="L99" s="34">
        <f>'分表8-2025三类细分价'!L255</f>
      </c>
      <c r="M99" s="34">
        <f>'分表8-2025三类细分价'!M255</f>
      </c>
      <c r="N99" s="34">
        <f>'分表8-2025三类细分价'!N255</f>
      </c>
      <c r="O99" s="34">
        <f>'分表8-2025三类细分价'!O255</f>
      </c>
      <c r="P99" s="34">
        <f>IF(SUM(D99:O99)=0,"0",AVERAGEIF(D99:O99,"&lt;&gt;0",D99:O99))</f>
      </c>
      <c r="Q99" s="38"/>
    </row>
    <row r="100">
      <c r="A100" s="34">
        <v>98</v>
      </c>
      <c r="B100" s="40" t="str">
        <v>湖北</v>
      </c>
      <c r="C100" s="39" t="str">
        <v>上网环节线损电价</v>
      </c>
      <c r="D100" s="34">
        <f>'分表8-2025三类细分价'!D258</f>
      </c>
      <c r="E100" s="34">
        <f>'分表8-2025三类细分价'!E258</f>
      </c>
      <c r="F100" s="34">
        <f>'分表8-2025三类细分价'!F258</f>
      </c>
      <c r="G100" s="34">
        <f>'分表8-2025三类细分价'!G258</f>
      </c>
      <c r="H100" s="34">
        <f>'分表8-2025三类细分价'!H258</f>
      </c>
      <c r="I100" s="34">
        <f>'分表8-2025三类细分价'!I258</f>
      </c>
      <c r="J100" s="34">
        <f>'分表8-2025三类细分价'!J258</f>
      </c>
      <c r="K100" s="34">
        <f>'分表8-2025三类细分价'!K258</f>
      </c>
      <c r="L100" s="34">
        <f>'分表8-2025三类细分价'!L258</f>
      </c>
      <c r="M100" s="34">
        <f>'分表8-2025三类细分价'!M258</f>
      </c>
      <c r="N100" s="34">
        <f>'分表8-2025三类细分价'!N258</f>
      </c>
      <c r="O100" s="34">
        <f>'分表8-2025三类细分价'!O258</f>
      </c>
      <c r="P100" s="34">
        <f>IF(SUM(D100:O100)=0,"0",AVERAGEIF(D100:O100,"&lt;&gt;0",D100:O100))</f>
      </c>
      <c r="Q100" s="38"/>
    </row>
    <row r="101">
      <c r="A101" s="34">
        <v>99</v>
      </c>
      <c r="B101" s="40" t="str">
        <v>湖北</v>
      </c>
      <c r="C101" s="39" t="str">
        <v>电度输配电价</v>
      </c>
      <c r="D101" s="34" cm="1">
        <f t="array" ref="D101:D101">_xlfn.XLOOKUP($C$1,'分表4-电度输配电价'!$C98：'分表4-电度输配电价'!$C105&amp;'分表4-电度输配电价'!$D98：'分表4-电度输配电价'!$D105,'分表4-电度输配电价'!$E98：'分表4-电度输配电价'!$E105)</f>
      </c>
      <c r="E101" s="34" cm="1">
        <f t="array" ref="E101:E101">_xlfn.XLOOKUP($C$1,'分表4-电度输配电价'!$C98：'分表4-电度输配电价'!$C105&amp;'分表4-电度输配电价'!$D98：'分表4-电度输配电价'!$D105,'分表4-电度输配电价'!$E98：'分表4-电度输配电价'!$E105)</f>
      </c>
      <c r="F101" s="34" cm="1">
        <f t="array" ref="F101:F101">_xlfn.XLOOKUP($C$1,'分表4-电度输配电价'!$C98：'分表4-电度输配电价'!$C105&amp;'分表4-电度输配电价'!$D98：'分表4-电度输配电价'!$D105,'分表4-电度输配电价'!$E98：'分表4-电度输配电价'!$E105)</f>
      </c>
      <c r="G101" s="34" cm="1">
        <f t="array" ref="G101:G101">_xlfn.XLOOKUP($C$1,'分表4-电度输配电价'!$C98：'分表4-电度输配电价'!$C105&amp;'分表4-电度输配电价'!$D98：'分表4-电度输配电价'!$D105,'分表4-电度输配电价'!$E98：'分表4-电度输配电价'!$E105)</f>
      </c>
      <c r="H101" s="34" cm="1">
        <f t="array" ref="H101:H101">_xlfn.XLOOKUP($C$1,'分表4-电度输配电价'!$C98：'分表4-电度输配电价'!$C105&amp;'分表4-电度输配电价'!$D98：'分表4-电度输配电价'!$D105,'分表4-电度输配电价'!$E98：'分表4-电度输配电价'!$E105)</f>
      </c>
      <c r="I101" s="34" cm="1">
        <f t="array" ref="I101:I101">_xlfn.XLOOKUP($C$1,'分表4-电度输配电价'!$C98：'分表4-电度输配电价'!$C105&amp;'分表4-电度输配电价'!$D98：'分表4-电度输配电价'!$D105,'分表4-电度输配电价'!$E98：'分表4-电度输配电价'!$E105)</f>
      </c>
      <c r="J101" s="34" cm="1">
        <f t="array" ref="J101:J101">_xlfn.XLOOKUP($C$1,'分表4-电度输配电价'!$C98：'分表4-电度输配电价'!$C105&amp;'分表4-电度输配电价'!$D98：'分表4-电度输配电价'!$D105,'分表4-电度输配电价'!$E98：'分表4-电度输配电价'!$E105)</f>
      </c>
      <c r="K101" s="34" cm="1">
        <f t="array" ref="K101:K101">_xlfn.XLOOKUP($C$1,'分表4-电度输配电价'!$C98：'分表4-电度输配电价'!$C105&amp;'分表4-电度输配电价'!$D98：'分表4-电度输配电价'!$D105,'分表4-电度输配电价'!$E98：'分表4-电度输配电价'!$E105)</f>
      </c>
      <c r="L101" s="34" cm="1">
        <f t="array" ref="L101:L101">_xlfn.XLOOKUP($C$1,'分表4-电度输配电价'!$C98：'分表4-电度输配电价'!$C105&amp;'分表4-电度输配电价'!$D98：'分表4-电度输配电价'!$D105,'分表4-电度输配电价'!$E98：'分表4-电度输配电价'!$E105)</f>
      </c>
      <c r="M101" s="34" cm="1">
        <f t="array" ref="M101:M101">_xlfn.XLOOKUP($C$1,'分表4-电度输配电价'!$C98：'分表4-电度输配电价'!$C105&amp;'分表4-电度输配电价'!$D98：'分表4-电度输配电价'!$D105,'分表4-电度输配电价'!$E98：'分表4-电度输配电价'!$E105)</f>
      </c>
      <c r="N101" s="34" cm="1">
        <f t="array" ref="N101:N101">_xlfn.XLOOKUP($C$1,'分表4-电度输配电价'!$C98：'分表4-电度输配电价'!$C105&amp;'分表4-电度输配电价'!$D98：'分表4-电度输配电价'!$D105,'分表4-电度输配电价'!$E98：'分表4-电度输配电价'!$E105)</f>
      </c>
      <c r="O101" s="34" cm="1">
        <f t="array" ref="O101:O101">_xlfn.XLOOKUP($C$1,'分表4-电度输配电价'!$C98：'分表4-电度输配电价'!$C105&amp;'分表4-电度输配电价'!$D98：'分表4-电度输配电价'!$D105,'分表4-电度输配电价'!$E98：'分表4-电度输配电价'!$E105)</f>
      </c>
      <c r="P101" s="34">
        <f>IF(SUM(D101:O101)=0,"0",AVERAGEIF(D101:O101,"&lt;&gt;0",D101:O101))</f>
      </c>
      <c r="Q101" s="38"/>
    </row>
    <row r="102">
      <c r="A102" s="34">
        <v>100</v>
      </c>
      <c r="B102" s="40" t="str">
        <v>湖北</v>
      </c>
      <c r="C102" s="39" t="str">
        <v>政府性基金及附加</v>
      </c>
      <c r="D102" s="34" cm="1">
        <f t="array" ref="D102:D102">_xlfn.XLOOKUP($B$102,'分表5-政府性基金及附加'!$B$2：'分表5-政府性基金及附加'!$B$199,'分表5-政府性基金及附加'!$D$2：'分表5-政府性基金及附加'!$D$199)</f>
      </c>
      <c r="E102" s="34" cm="1">
        <f t="array" ref="E102:E102">_xlfn.XLOOKUP($B$102,'分表5-政府性基金及附加'!$B$2：'分表5-政府性基金及附加'!$B$199,'分表5-政府性基金及附加'!$D$2：'分表5-政府性基金及附加'!$D$199)</f>
      </c>
      <c r="F102" s="34" cm="1">
        <f t="array" ref="F102:F102">_xlfn.XLOOKUP($B$102,'分表5-政府性基金及附加'!$B$2：'分表5-政府性基金及附加'!$B$199,'分表5-政府性基金及附加'!$D$2：'分表5-政府性基金及附加'!$D$199)</f>
      </c>
      <c r="G102" s="34" cm="1">
        <f t="array" ref="G102:G102">_xlfn.XLOOKUP($B$102,'分表5-政府性基金及附加'!$B$2：'分表5-政府性基金及附加'!$B$199,'分表5-政府性基金及附加'!$D$2：'分表5-政府性基金及附加'!$D$199)</f>
      </c>
      <c r="H102" s="34" cm="1">
        <f t="array" ref="H102:H102">_xlfn.XLOOKUP($B$102,'分表5-政府性基金及附加'!$B$2：'分表5-政府性基金及附加'!$B$199,'分表5-政府性基金及附加'!$D$2：'分表5-政府性基金及附加'!$D$199)</f>
      </c>
      <c r="I102" s="34" cm="1">
        <f t="array" ref="I102:I102">_xlfn.XLOOKUP($B$102,'分表5-政府性基金及附加'!$B$2：'分表5-政府性基金及附加'!$B$199,'分表5-政府性基金及附加'!$D$2：'分表5-政府性基金及附加'!$D$199)</f>
      </c>
      <c r="J102" s="34" cm="1">
        <f t="array" ref="J102:J102">_xlfn.XLOOKUP($B$102,'分表5-政府性基金及附加'!$B$2：'分表5-政府性基金及附加'!$B$199,'分表5-政府性基金及附加'!$D$2：'分表5-政府性基金及附加'!$D$199)</f>
      </c>
      <c r="K102" s="34" cm="1">
        <f t="array" ref="K102:K102">_xlfn.XLOOKUP($B$102,'分表5-政府性基金及附加'!$B$2：'分表5-政府性基金及附加'!$B$199,'分表5-政府性基金及附加'!$D$2：'分表5-政府性基金及附加'!$D$199)</f>
      </c>
      <c r="L102" s="34" cm="1">
        <f t="array" ref="L102:L102">_xlfn.XLOOKUP($B$102,'分表5-政府性基金及附加'!$B$2：'分表5-政府性基金及附加'!$B$199,'分表5-政府性基金及附加'!$D$2：'分表5-政府性基金及附加'!$D$199)</f>
      </c>
      <c r="M102" s="34" cm="1">
        <f t="array" ref="M102:M102">_xlfn.XLOOKUP($B$102,'分表5-政府性基金及附加'!$B$2：'分表5-政府性基金及附加'!$B$199,'分表5-政府性基金及附加'!$D$2：'分表5-政府性基金及附加'!$D$199)</f>
      </c>
      <c r="N102" s="34" cm="1">
        <f t="array" ref="N102:N102">_xlfn.XLOOKUP($B$102,'分表5-政府性基金及附加'!$B$2：'分表5-政府性基金及附加'!$B$199,'分表5-政府性基金及附加'!$D$2：'分表5-政府性基金及附加'!$D$199)</f>
      </c>
      <c r="O102" s="34" cm="1">
        <f t="array" ref="O102:O102">_xlfn.XLOOKUP($B$102,'分表5-政府性基金及附加'!$B$2：'分表5-政府性基金及附加'!$B$199,'分表5-政府性基金及附加'!$D$2：'分表5-政府性基金及附加'!$D$199)</f>
      </c>
      <c r="P102" s="34">
        <f>IF(SUM(D102:O102)=0,"0",AVERAGEIF(D102:O102,"&lt;&gt;0",D102:O102))</f>
      </c>
      <c r="Q102" s="38"/>
    </row>
    <row r="103">
      <c r="A103" s="34">
        <v>101</v>
      </c>
      <c r="B103" s="40" t="str">
        <v>湖北</v>
      </c>
      <c r="C103" s="39" t="str">
        <v>系统运行费折价</v>
      </c>
      <c r="D103" s="34">
        <f>'分表8-2025三类细分价'!D259</f>
      </c>
      <c r="E103" s="34">
        <f>'分表8-2025三类细分价'!E259</f>
      </c>
      <c r="F103" s="34">
        <f>'分表8-2025三类细分价'!F259</f>
      </c>
      <c r="G103" s="34">
        <f>'分表8-2025三类细分价'!G259</f>
      </c>
      <c r="H103" s="34">
        <f>'分表8-2025三类细分价'!H259</f>
      </c>
      <c r="I103" s="34">
        <f>'分表8-2025三类细分价'!I259</f>
      </c>
      <c r="J103" s="34">
        <f>'分表8-2025三类细分价'!J259</f>
      </c>
      <c r="K103" s="34">
        <f>'分表8-2025三类细分价'!K259</f>
      </c>
      <c r="L103" s="34">
        <f>'分表8-2025三类细分价'!L259</f>
      </c>
      <c r="M103" s="34">
        <f>'分表8-2025三类细分价'!M259</f>
      </c>
      <c r="N103" s="34">
        <f>'分表8-2025三类细分价'!N259</f>
      </c>
      <c r="O103" s="34">
        <f>'分表8-2025三类细分价'!O259</f>
      </c>
      <c r="P103" s="34">
        <f>IF(SUM(D103:O103)=0,"0",AVERAGEIF(D103:O103,"&lt;&gt;0",D103:O103))</f>
      </c>
      <c r="Q103" s="38"/>
    </row>
    <row r="104">
      <c r="A104" s="34">
        <v>102</v>
      </c>
      <c r="B104" s="40" t="str">
        <v>湖北</v>
      </c>
      <c r="C104" s="39" t="str">
        <v>综合平段电价--电网代购</v>
      </c>
      <c r="D104" s="34">
        <f>IF(D101="/","/",SUM(D99:D103))</f>
      </c>
      <c r="E104" s="34">
        <f>IF(E101="/","/",SUM(E99:E103))</f>
      </c>
      <c r="F104" s="34">
        <f>IF(F101="/","/",SUM(F99:F103))</f>
      </c>
      <c r="G104" s="34">
        <f>IF(G101="/","/",SUM(G99:G103))</f>
      </c>
      <c r="H104" s="34">
        <f>IF(H101="/","/",SUM(H99:H103))</f>
      </c>
      <c r="I104" s="34">
        <f>IF(I101="/","/",SUM(I99:I103))</f>
      </c>
      <c r="J104" s="34">
        <f>IF(J101="/","/",SUM(J99:J103))</f>
      </c>
      <c r="K104" s="34">
        <f>IF(K101="/","/",SUM(K99:K103))</f>
      </c>
      <c r="L104" s="34">
        <f>IF(L101="/","/",SUM(L99:L103))</f>
      </c>
      <c r="M104" s="34">
        <f>IF(M101="/","/",SUM(M99:M103))</f>
      </c>
      <c r="N104" s="34">
        <f>IF(N101="/","/",SUM(N99:N103))</f>
      </c>
      <c r="O104" s="34">
        <f>IF(O101="/","/",SUM(O99:O103))</f>
      </c>
      <c r="P104" s="34">
        <f>IF(SUM(D104:O104)=0,"0",AVERAGEIF(D104:O104,"&lt;&gt;0",D104:O104))</f>
      </c>
      <c r="Q104" s="38"/>
    </row>
    <row r="105">
      <c r="A105" s="34">
        <v>103</v>
      </c>
      <c r="B105" s="40" t="str">
        <v>湖北</v>
      </c>
      <c r="C105" s="39" t="str">
        <v>入市交易购电价格</v>
      </c>
      <c r="D105" s="34">
        <f>'分表9-2025交易价格'!D14</f>
      </c>
      <c r="E105" s="34">
        <f>'分表9-2025交易价格'!E14</f>
      </c>
      <c r="F105" s="34">
        <f>'分表9-2025交易价格'!F14</f>
      </c>
      <c r="G105" s="34">
        <f>'分表9-2025交易价格'!G14</f>
      </c>
      <c r="H105" s="34">
        <f>'分表9-2025交易价格'!H14</f>
      </c>
      <c r="I105" s="34">
        <f>'分表9-2025交易价格'!I14</f>
      </c>
      <c r="J105" s="34">
        <f>'分表9-2025交易价格'!J14</f>
      </c>
      <c r="K105" s="34">
        <f>'分表9-2025交易价格'!K14</f>
      </c>
      <c r="L105" s="34">
        <f>'分表9-2025交易价格'!L14</f>
      </c>
      <c r="M105" s="34">
        <f>'分表9-2025交易价格'!M14</f>
      </c>
      <c r="N105" s="34">
        <f>'分表9-2025交易价格'!N14</f>
      </c>
      <c r="O105" s="34">
        <f>'分表9-2025交易价格'!O14</f>
      </c>
      <c r="P105" s="34">
        <f>IF(SUM(D105:O105)=0,"0",AVERAGEIF(D105:O105,"&lt;&gt;0",D105:O105))</f>
      </c>
      <c r="Q105" s="38"/>
    </row>
    <row customHeight="true" ht="19" r="106">
      <c r="A106" s="34">
        <v>104</v>
      </c>
      <c r="B106" s="40" t="str">
        <v>湖北</v>
      </c>
      <c r="C106" s="39" t="str">
        <v>综合平段电价--入市交易</v>
      </c>
      <c r="D106" s="34">
        <f>IF(D101="/","/",IF(D105&gt;0,D105+SUM(D100:D103),"/"))</f>
      </c>
      <c r="E106" s="34">
        <f>IF(E101="/","/",IF(E105&gt;0,E105+SUM(E100:E103),"/"))</f>
      </c>
      <c r="F106" s="34">
        <f>IF(F101="/","/",IF(F105&gt;0,F105+SUM(F100:F103),"/"))</f>
      </c>
      <c r="G106" s="34">
        <f>IF(G101="/","/",IF(G105&gt;0,G105+SUM(G100:G103),"/"))</f>
      </c>
      <c r="H106" s="34">
        <f>IF(H101="/","/",IF(H105&gt;0,H105+SUM(H100:H103),"/"))</f>
      </c>
      <c r="I106" s="34">
        <f>IF(I101="/","/",IF(I105&gt;0,I105+SUM(I100:I103),"/"))</f>
      </c>
      <c r="J106" s="34">
        <f>IF(J101="/","/",IF(J105&gt;0,J105+SUM(J100:J103),"/"))</f>
      </c>
      <c r="K106" s="34">
        <f>IF(K101="/","/",IF(K105&gt;0,K105+SUM(K100:K103),"/"))</f>
      </c>
      <c r="L106" s="34">
        <f>IF(L101="/","/",IF(L105&gt;0,L105+SUM(L100:L103),"/"))</f>
      </c>
      <c r="M106" s="34">
        <f>IF(M101="/","/",IF(M105&gt;0,M105+SUM(M100:M103),"/"))</f>
      </c>
      <c r="N106" s="34">
        <f>IF(N101="/","/",IF(N105&gt;0,N105+SUM(N100:N103),"/"))</f>
      </c>
      <c r="O106" s="34">
        <f>IF(O101="/","/",IF(O105&gt;0,O105+SUM(O100:O103),"/"))</f>
      </c>
      <c r="P106" s="34">
        <f>IF(SUM(D106:O106)=0,"0",AVERAGEIF(D106:O106,"&lt;&gt;0",D106:O106))</f>
      </c>
      <c r="Q106" s="38"/>
    </row>
    <row customHeight="true" ht="19" r="107">
      <c r="A107" s="34">
        <v>105</v>
      </c>
      <c r="B107" s="31" t="str">
        <v>河南</v>
      </c>
      <c r="C107" s="37" t="str">
        <v>代理购电价格</v>
      </c>
      <c r="D107" s="36">
        <f>'分表8-2025三类细分价'!D276</f>
      </c>
      <c r="E107" s="36">
        <f>'分表8-2025三类细分价'!E276</f>
      </c>
      <c r="F107" s="36">
        <f>'分表8-2025三类细分价'!F276</f>
      </c>
      <c r="G107" s="36">
        <f>'分表8-2025三类细分价'!G276</f>
      </c>
      <c r="H107" s="36">
        <f>'分表8-2025三类细分价'!H276</f>
      </c>
      <c r="I107" s="36">
        <f>'分表8-2025三类细分价'!I276</f>
      </c>
      <c r="J107" s="36">
        <f>'分表8-2025三类细分价'!J276</f>
      </c>
      <c r="K107" s="36">
        <f>'分表8-2025三类细分价'!K276</f>
      </c>
      <c r="L107" s="36">
        <f>'分表8-2025三类细分价'!L276</f>
      </c>
      <c r="M107" s="36">
        <f>'分表8-2025三类细分价'!M276</f>
      </c>
      <c r="N107" s="36">
        <f>'分表8-2025三类细分价'!N276</f>
      </c>
      <c r="O107" s="36">
        <f>'分表8-2025三类细分价'!O276</f>
      </c>
      <c r="P107" s="36">
        <f>IF(SUM(D107:O107)=0,"0",AVERAGEIF(D107:O107,"&lt;&gt;0",D107:O107))</f>
      </c>
      <c r="Q107" s="35"/>
    </row>
    <row customHeight="true" ht="19" r="108">
      <c r="A108" s="34">
        <v>106</v>
      </c>
      <c r="B108" s="31" t="str">
        <v>河南</v>
      </c>
      <c r="C108" s="37" t="str">
        <v>上网环节线损电价</v>
      </c>
      <c r="D108" s="32">
        <f>'分表8-2025三类细分价'!D279</f>
      </c>
      <c r="E108" s="32">
        <f>'分表8-2025三类细分价'!E279</f>
      </c>
      <c r="F108" s="32">
        <f>'分表8-2025三类细分价'!F279</f>
      </c>
      <c r="G108" s="32">
        <f>'分表8-2025三类细分价'!G279</f>
      </c>
      <c r="H108" s="32">
        <f>'分表8-2025三类细分价'!H279</f>
      </c>
      <c r="I108" s="32">
        <f>'分表8-2025三类细分价'!I279</f>
      </c>
      <c r="J108" s="32">
        <f>'分表8-2025三类细分价'!J279</f>
      </c>
      <c r="K108" s="32">
        <f>'分表8-2025三类细分价'!K279</f>
      </c>
      <c r="L108" s="32">
        <f>'分表8-2025三类细分价'!L279</f>
      </c>
      <c r="M108" s="32">
        <f>'分表8-2025三类细分价'!M279</f>
      </c>
      <c r="N108" s="32">
        <f>'分表8-2025三类细分价'!N279</f>
      </c>
      <c r="O108" s="32">
        <f>'分表8-2025三类细分价'!O279</f>
      </c>
      <c r="P108" s="36">
        <f>IF(SUM(D108:O108)=0,"0",AVERAGEIF(D108:O108,"&lt;&gt;0",D108:O108))</f>
      </c>
      <c r="Q108" s="35"/>
    </row>
    <row r="109">
      <c r="A109" s="34">
        <v>107</v>
      </c>
      <c r="B109" s="31" t="str">
        <v>河南</v>
      </c>
      <c r="C109" s="37" t="str">
        <v>电度输配电价</v>
      </c>
      <c r="D109" s="36" cm="1">
        <f t="array" ref="D109:D109">_xlfn.XLOOKUP($C$1,'分表4-电度输配电价'!$C106：'分表4-电度输配电价'!$C113&amp;'分表4-电度输配电价'!$D106：'分表4-电度输配电价'!$D113,'分表4-电度输配电价'!$E106：'分表4-电度输配电价'!$E113)</f>
      </c>
      <c r="E109" s="36" cm="1">
        <f t="array" ref="E109:E109">_xlfn.XLOOKUP($C$1,'分表4-电度输配电价'!$C106：'分表4-电度输配电价'!$C113&amp;'分表4-电度输配电价'!$D106：'分表4-电度输配电价'!$D113,'分表4-电度输配电价'!$E106：'分表4-电度输配电价'!$E113)</f>
      </c>
      <c r="F109" s="36" cm="1">
        <f t="array" ref="F109:F109">_xlfn.XLOOKUP($C$1,'分表4-电度输配电价'!$C106：'分表4-电度输配电价'!$C113&amp;'分表4-电度输配电价'!$D106：'分表4-电度输配电价'!$D113,'分表4-电度输配电价'!$E106：'分表4-电度输配电价'!$E113)</f>
      </c>
      <c r="G109" s="36" cm="1">
        <f t="array" ref="G109:G109">_xlfn.XLOOKUP($C$1,'分表4-电度输配电价'!$C106：'分表4-电度输配电价'!$C113&amp;'分表4-电度输配电价'!$D106：'分表4-电度输配电价'!$D113,'分表4-电度输配电价'!$E106：'分表4-电度输配电价'!$E113)</f>
      </c>
      <c r="H109" s="36" cm="1">
        <f t="array" ref="H109:H109">_xlfn.XLOOKUP($C$1,'分表4-电度输配电价'!$C106：'分表4-电度输配电价'!$C113&amp;'分表4-电度输配电价'!$D106：'分表4-电度输配电价'!$D113,'分表4-电度输配电价'!$E106：'分表4-电度输配电价'!$E113)</f>
      </c>
      <c r="I109" s="36" cm="1">
        <f t="array" ref="I109:I109">_xlfn.XLOOKUP($C$1,'分表4-电度输配电价'!$C106：'分表4-电度输配电价'!$C113&amp;'分表4-电度输配电价'!$D106：'分表4-电度输配电价'!$D113,'分表4-电度输配电价'!$E106：'分表4-电度输配电价'!$E113)</f>
      </c>
      <c r="J109" s="36" cm="1">
        <f t="array" ref="J109:J109">_xlfn.XLOOKUP($C$1,'分表4-电度输配电价'!$C106：'分表4-电度输配电价'!$C113&amp;'分表4-电度输配电价'!$D106：'分表4-电度输配电价'!$D113,'分表4-电度输配电价'!$E106：'分表4-电度输配电价'!$E113)</f>
      </c>
      <c r="K109" s="36" cm="1">
        <f t="array" ref="K109:K109">_xlfn.XLOOKUP($C$1,'分表4-电度输配电价'!$C106：'分表4-电度输配电价'!$C113&amp;'分表4-电度输配电价'!$D106：'分表4-电度输配电价'!$D113,'分表4-电度输配电价'!$E106：'分表4-电度输配电价'!$E113)</f>
      </c>
      <c r="L109" s="36" cm="1">
        <f t="array" ref="L109:L109">_xlfn.XLOOKUP($C$1,'分表4-电度输配电价'!$C106：'分表4-电度输配电价'!$C113&amp;'分表4-电度输配电价'!$D106：'分表4-电度输配电价'!$D113,'分表4-电度输配电价'!$E106：'分表4-电度输配电价'!$E113)</f>
      </c>
      <c r="M109" s="36" cm="1">
        <f t="array" ref="M109:M109">_xlfn.XLOOKUP($C$1,'分表4-电度输配电价'!$C106：'分表4-电度输配电价'!$C113&amp;'分表4-电度输配电价'!$D106：'分表4-电度输配电价'!$D113,'分表4-电度输配电价'!$E106：'分表4-电度输配电价'!$E113)</f>
      </c>
      <c r="N109" s="36" cm="1">
        <f t="array" ref="N109:N109">_xlfn.XLOOKUP($C$1,'分表4-电度输配电价'!$C106：'分表4-电度输配电价'!$C113&amp;'分表4-电度输配电价'!$D106：'分表4-电度输配电价'!$D113,'分表4-电度输配电价'!$E106：'分表4-电度输配电价'!$E113)</f>
      </c>
      <c r="O109" s="36" cm="1">
        <f t="array" ref="O109:O109">_xlfn.XLOOKUP($C$1,'分表4-电度输配电价'!$C106：'分表4-电度输配电价'!$C113&amp;'分表4-电度输配电价'!$D106：'分表4-电度输配电价'!$D113,'分表4-电度输配电价'!$E106：'分表4-电度输配电价'!$E113)</f>
      </c>
      <c r="P109" s="36">
        <f>IF(SUM(D109:O109)=0,"0",AVERAGEIF(D109:O109,"&lt;&gt;0",D109:O109))</f>
      </c>
      <c r="Q109" s="35"/>
    </row>
    <row r="110">
      <c r="A110" s="34">
        <v>108</v>
      </c>
      <c r="B110" s="31" t="str">
        <v>河南</v>
      </c>
      <c r="C110" s="37" t="str">
        <v>政府性基金及附加</v>
      </c>
      <c r="D110" s="36" cm="1">
        <f t="array" ref="D110:D110">_xlfn.XLOOKUP($B$110,'分表5-政府性基金及附加'!$B$2：'分表5-政府性基金及附加'!$B$199,'分表5-政府性基金及附加'!$D$2：'分表5-政府性基金及附加'!$D$199)</f>
      </c>
      <c r="E110" s="36" cm="1">
        <f t="array" ref="E110:E110">_xlfn.XLOOKUP($B$110,'分表5-政府性基金及附加'!$B$2：'分表5-政府性基金及附加'!$B$199,'分表5-政府性基金及附加'!$D$2：'分表5-政府性基金及附加'!$D$199)</f>
      </c>
      <c r="F110" s="36" cm="1">
        <f t="array" ref="F110:F110">_xlfn.XLOOKUP($B$110,'分表5-政府性基金及附加'!$B$2：'分表5-政府性基金及附加'!$B$199,'分表5-政府性基金及附加'!$D$2：'分表5-政府性基金及附加'!$D$199)</f>
      </c>
      <c r="G110" s="36" cm="1">
        <f t="array" ref="G110:G110">_xlfn.XLOOKUP($B$110,'分表5-政府性基金及附加'!$B$2：'分表5-政府性基金及附加'!$B$199,'分表5-政府性基金及附加'!$D$2：'分表5-政府性基金及附加'!$D$199)</f>
      </c>
      <c r="H110" s="36" cm="1">
        <f t="array" ref="H110:H110">_xlfn.XLOOKUP($B$110,'分表5-政府性基金及附加'!$B$2：'分表5-政府性基金及附加'!$B$199,'分表5-政府性基金及附加'!$D$2：'分表5-政府性基金及附加'!$D$199)</f>
      </c>
      <c r="I110" s="36" cm="1">
        <f t="array" ref="I110:I110">_xlfn.XLOOKUP($B$110,'分表5-政府性基金及附加'!$B$2：'分表5-政府性基金及附加'!$B$199,'分表5-政府性基金及附加'!$D$2：'分表5-政府性基金及附加'!$D$199)</f>
      </c>
      <c r="J110" s="36" cm="1">
        <f t="array" ref="J110:J110">_xlfn.XLOOKUP($B$110,'分表5-政府性基金及附加'!$B$2：'分表5-政府性基金及附加'!$B$199,'分表5-政府性基金及附加'!$D$2：'分表5-政府性基金及附加'!$D$199)</f>
      </c>
      <c r="K110" s="36" cm="1">
        <f t="array" ref="K110:K110">_xlfn.XLOOKUP($B$110,'分表5-政府性基金及附加'!$B$2：'分表5-政府性基金及附加'!$B$199,'分表5-政府性基金及附加'!$D$2：'分表5-政府性基金及附加'!$D$199)</f>
      </c>
      <c r="L110" s="36" cm="1">
        <f t="array" ref="L110:L110">_xlfn.XLOOKUP($B$110,'分表5-政府性基金及附加'!$B$2：'分表5-政府性基金及附加'!$B$199,'分表5-政府性基金及附加'!$D$2：'分表5-政府性基金及附加'!$D$199)</f>
      </c>
      <c r="M110" s="36" cm="1">
        <f t="array" ref="M110:M110">_xlfn.XLOOKUP($B$110,'分表5-政府性基金及附加'!$B$2：'分表5-政府性基金及附加'!$B$199,'分表5-政府性基金及附加'!$D$2：'分表5-政府性基金及附加'!$D$199)</f>
      </c>
      <c r="N110" s="36" cm="1">
        <f t="array" ref="N110:N110">_xlfn.XLOOKUP($B$110,'分表5-政府性基金及附加'!$B$2：'分表5-政府性基金及附加'!$B$199,'分表5-政府性基金及附加'!$D$2：'分表5-政府性基金及附加'!$D$199)</f>
      </c>
      <c r="O110" s="36" cm="1">
        <f t="array" ref="O110:O110">_xlfn.XLOOKUP($B$110,'分表5-政府性基金及附加'!$B$2：'分表5-政府性基金及附加'!$B$199,'分表5-政府性基金及附加'!$D$2：'分表5-政府性基金及附加'!$D$199)</f>
      </c>
      <c r="P110" s="36">
        <f>IF(SUM(D110:O110)=0,"0",AVERAGEIF(D110:O110,"&lt;&gt;0",D110:O110))</f>
      </c>
      <c r="Q110" s="35"/>
    </row>
    <row customHeight="true" ht="19" r="111">
      <c r="A111" s="34">
        <v>109</v>
      </c>
      <c r="B111" s="31" t="str">
        <v>河南</v>
      </c>
      <c r="C111" s="37" t="str">
        <v>系统运行费折价</v>
      </c>
      <c r="D111" s="32">
        <f>'分表8-2025三类细分价'!D280</f>
      </c>
      <c r="E111" s="32">
        <f>'分表8-2025三类细分价'!E280</f>
      </c>
      <c r="F111" s="32">
        <f>'分表8-2025三类细分价'!F280</f>
      </c>
      <c r="G111" s="32">
        <f>'分表8-2025三类细分价'!G280</f>
      </c>
      <c r="H111" s="32">
        <f>'分表8-2025三类细分价'!H280</f>
      </c>
      <c r="I111" s="32">
        <f>'分表8-2025三类细分价'!I280</f>
      </c>
      <c r="J111" s="32">
        <f>'分表8-2025三类细分价'!J280</f>
      </c>
      <c r="K111" s="32">
        <f>'分表8-2025三类细分价'!K280</f>
      </c>
      <c r="L111" s="32">
        <f>'分表8-2025三类细分价'!L280</f>
      </c>
      <c r="M111" s="32">
        <f>'分表8-2025三类细分价'!M280</f>
      </c>
      <c r="N111" s="32">
        <f>'分表8-2025三类细分价'!N280</f>
      </c>
      <c r="O111" s="32">
        <f>'分表8-2025三类细分价'!O280</f>
      </c>
      <c r="P111" s="36">
        <f>IF(SUM(D111:O111)=0,"0",AVERAGEIF(D111:O111,"&lt;&gt;0",D111:O111))</f>
      </c>
      <c r="Q111" s="35"/>
    </row>
    <row r="112">
      <c r="A112" s="34">
        <v>110</v>
      </c>
      <c r="B112" s="31" t="str">
        <v>河南</v>
      </c>
      <c r="C112" s="37" t="str">
        <v>综合平段电价--电网代购</v>
      </c>
      <c r="D112" s="36">
        <f>IF(D109="/","/",SUM(D107:D111))</f>
      </c>
      <c r="E112" s="36">
        <f>IF(E109="/","/",SUM(E107:E111))</f>
      </c>
      <c r="F112" s="36">
        <f>IF(F109="/","/",SUM(F107:F111))</f>
      </c>
      <c r="G112" s="36">
        <f>IF(G109="/","/",SUM(G107:G111))</f>
      </c>
      <c r="H112" s="36">
        <f>IF(H109="/","/",SUM(H107:H111))</f>
      </c>
      <c r="I112" s="36">
        <f>IF(I109="/","/",SUM(I107:I111))</f>
      </c>
      <c r="J112" s="36">
        <f>IF(J109="/","/",SUM(J107:J111))</f>
      </c>
      <c r="K112" s="36">
        <f>IF(K109="/","/",SUM(K107:K111))</f>
      </c>
      <c r="L112" s="36">
        <f>IF(L109="/","/",SUM(L107:L111))</f>
      </c>
      <c r="M112" s="36">
        <f>IF(M109="/","/",SUM(M107:M111))</f>
      </c>
      <c r="N112" s="36">
        <f>IF(N109="/","/",SUM(N107:N111))</f>
      </c>
      <c r="O112" s="36">
        <f>IF(O109="/","/",SUM(O107:O111))</f>
      </c>
      <c r="P112" s="36">
        <f>IF(SUM(D112:O112)=0,"0",AVERAGEIF(D112:O112,"&lt;&gt;0",D112:O112))</f>
      </c>
      <c r="Q112" s="35"/>
    </row>
    <row r="113">
      <c r="A113" s="34">
        <v>111</v>
      </c>
      <c r="B113" s="31" t="str">
        <v>河南</v>
      </c>
      <c r="C113" s="37" t="str">
        <v>入市交易购电价格</v>
      </c>
      <c r="D113" s="32">
        <f>'分表9-2025交易价格'!D15</f>
      </c>
      <c r="E113" s="32">
        <f>'分表9-2025交易价格'!E15</f>
      </c>
      <c r="F113" s="32">
        <f>'分表9-2025交易价格'!F15</f>
      </c>
      <c r="G113" s="32">
        <f>'分表9-2025交易价格'!G15</f>
      </c>
      <c r="H113" s="32">
        <f>'分表9-2025交易价格'!H15</f>
      </c>
      <c r="I113" s="32">
        <f>'分表9-2025交易价格'!I15</f>
      </c>
      <c r="J113" s="32">
        <f>'分表9-2025交易价格'!J15</f>
      </c>
      <c r="K113" s="32">
        <f>'分表9-2025交易价格'!K15</f>
      </c>
      <c r="L113" s="32">
        <f>'分表9-2025交易价格'!L15</f>
      </c>
      <c r="M113" s="32">
        <f>'分表9-2025交易价格'!M15</f>
      </c>
      <c r="N113" s="32">
        <f>'分表9-2025交易价格'!N15</f>
      </c>
      <c r="O113" s="32">
        <f>'分表9-2025交易价格'!O15</f>
      </c>
      <c r="P113" s="36">
        <f>IF(SUM(D113:O113)=0,"0",AVERAGEIF(D113:O113,"&lt;&gt;0",D113:O113))</f>
      </c>
      <c r="Q113" s="35"/>
    </row>
    <row r="114">
      <c r="A114" s="34">
        <v>112</v>
      </c>
      <c r="B114" s="31" t="str">
        <v>河南</v>
      </c>
      <c r="C114" s="37" t="str">
        <v>综合平段电价--入市交易</v>
      </c>
      <c r="D114" s="36">
        <f>IF(D109="/","/",IF(D113&gt;0,D113+SUM(D108:D111),"/"))</f>
      </c>
      <c r="E114" s="36">
        <f>IF(E109="/","/",IF(E113&gt;0,E113+SUM(E108:E111),"/"))</f>
      </c>
      <c r="F114" s="36">
        <f>IF(F109="/","/",IF(F113&gt;0,F113+SUM(F108:F111),"/"))</f>
      </c>
      <c r="G114" s="36">
        <f>IF(G109="/","/",IF(G113&gt;0,G113+SUM(G108:G111),"/"))</f>
      </c>
      <c r="H114" s="36">
        <f>IF(H109="/","/",IF(H113&gt;0,H113+SUM(H108:H111),"/"))</f>
      </c>
      <c r="I114" s="36">
        <f>IF(I109="/","/",IF(I113&gt;0,I113+SUM(I108:I111),"/"))</f>
      </c>
      <c r="J114" s="36">
        <f>IF(J109="/","/",IF(J113&gt;0,J113+SUM(J108:J111),"/"))</f>
      </c>
      <c r="K114" s="36">
        <f>IF(K109="/","/",IF(K113&gt;0,K113+SUM(K108:K111),"/"))</f>
      </c>
      <c r="L114" s="36">
        <f>IF(L109="/","/",IF(L113&gt;0,L113+SUM(L108:L111),"/"))</f>
      </c>
      <c r="M114" s="36">
        <f>IF(M109="/","/",IF(M113&gt;0,M113+SUM(M108:M111),"/"))</f>
      </c>
      <c r="N114" s="36">
        <f>IF(N109="/","/",IF(N113&gt;0,N113+SUM(N108:N111),"/"))</f>
      </c>
      <c r="O114" s="36">
        <f>IF(O109="/","/",IF(O113&gt;0,O113+SUM(O108:O111),"/"))</f>
      </c>
      <c r="P114" s="36">
        <f>IF(SUM(D114:O114)=0,"0",AVERAGEIF(D114:O114,"&lt;&gt;0",D114:O114))</f>
      </c>
      <c r="Q114" s="35"/>
    </row>
    <row r="115">
      <c r="A115" s="34">
        <v>113</v>
      </c>
      <c r="B115" s="40" t="str">
        <v>湖南</v>
      </c>
      <c r="C115" s="39" t="str">
        <v>代理购电价格</v>
      </c>
      <c r="D115" s="34">
        <f>'分表8-2025三类细分价'!D297</f>
      </c>
      <c r="E115" s="34">
        <f>'分表8-2025三类细分价'!E297</f>
      </c>
      <c r="F115" s="34">
        <f>'分表8-2025三类细分价'!F297</f>
      </c>
      <c r="G115" s="34">
        <f>'分表8-2025三类细分价'!G297</f>
      </c>
      <c r="H115" s="34">
        <f>'分表8-2025三类细分价'!H297</f>
      </c>
      <c r="I115" s="34">
        <f>'分表8-2025三类细分价'!I297</f>
      </c>
      <c r="J115" s="34">
        <f>'分表8-2025三类细分价'!J297</f>
      </c>
      <c r="K115" s="34">
        <f>'分表8-2025三类细分价'!K297</f>
      </c>
      <c r="L115" s="34">
        <f>'分表8-2025三类细分价'!L297</f>
      </c>
      <c r="M115" s="34">
        <f>'分表8-2025三类细分价'!M297</f>
      </c>
      <c r="N115" s="34">
        <f>'分表8-2025三类细分价'!N297</f>
      </c>
      <c r="O115" s="34">
        <f>'分表8-2025三类细分价'!O297</f>
      </c>
      <c r="P115" s="34">
        <f>IF(SUM(D115:O115)=0,"0",AVERAGEIF(D115:O115,"&lt;&gt;0",D115:O115))</f>
      </c>
      <c r="Q115" s="38"/>
    </row>
    <row r="116">
      <c r="A116" s="34">
        <v>114</v>
      </c>
      <c r="B116" s="40" t="str">
        <v>湖南</v>
      </c>
      <c r="C116" s="39" t="str">
        <v>上网环节线损电价</v>
      </c>
      <c r="D116" s="34">
        <f>'分表8-2025三类细分价'!D301</f>
      </c>
      <c r="E116" s="34">
        <f>'分表8-2025三类细分价'!E301</f>
      </c>
      <c r="F116" s="34">
        <f>'分表8-2025三类细分价'!F301</f>
      </c>
      <c r="G116" s="34">
        <f>'分表8-2025三类细分价'!G301</f>
      </c>
      <c r="H116" s="34">
        <f>'分表8-2025三类细分价'!H301</f>
      </c>
      <c r="I116" s="34">
        <f>'分表8-2025三类细分价'!I301</f>
      </c>
      <c r="J116" s="34">
        <f>'分表8-2025三类细分价'!J301</f>
      </c>
      <c r="K116" s="34">
        <f>'分表8-2025三类细分价'!K301</f>
      </c>
      <c r="L116" s="34">
        <f>'分表8-2025三类细分价'!L301</f>
      </c>
      <c r="M116" s="34">
        <f>'分表8-2025三类细分价'!M301</f>
      </c>
      <c r="N116" s="34">
        <f>'分表8-2025三类细分价'!N301</f>
      </c>
      <c r="O116" s="34">
        <f>'分表8-2025三类细分价'!O301</f>
      </c>
      <c r="P116" s="34">
        <f>IF(SUM(D116:O116)=0,"0",AVERAGEIF(D116:O116,"&lt;&gt;0",D116:O116))</f>
      </c>
      <c r="Q116" s="38"/>
    </row>
    <row r="117">
      <c r="A117" s="34">
        <v>115</v>
      </c>
      <c r="B117" s="40" t="str">
        <v>湖南</v>
      </c>
      <c r="C117" s="39" t="str">
        <v>电度输配电价</v>
      </c>
      <c r="D117" s="34" cm="1">
        <f t="array" ref="D117:D117">_xlfn.XLOOKUP($C$1,'分表4-电度输配电价'!$C114：'分表4-电度输配电价'!$C121&amp;'分表4-电度输配电价'!$D114：'分表4-电度输配电价'!$D121,'分表4-电度输配电价'!$E114：'分表4-电度输配电价'!$E121)</f>
      </c>
      <c r="E117" s="34" cm="1">
        <f t="array" ref="E117:E117">_xlfn.XLOOKUP($C$1,'分表4-电度输配电价'!$C114：'分表4-电度输配电价'!$C121&amp;'分表4-电度输配电价'!$D114：'分表4-电度输配电价'!$D121,'分表4-电度输配电价'!$E114：'分表4-电度输配电价'!$E121)</f>
      </c>
      <c r="F117" s="34" cm="1">
        <f t="array" ref="F117:F117">_xlfn.XLOOKUP($C$1,'分表4-电度输配电价'!$C114：'分表4-电度输配电价'!$C121&amp;'分表4-电度输配电价'!$D114：'分表4-电度输配电价'!$D121,'分表4-电度输配电价'!$E114：'分表4-电度输配电价'!$E121)</f>
      </c>
      <c r="G117" s="34" cm="1">
        <f t="array" ref="G117:G117">_xlfn.XLOOKUP($C$1,'分表4-电度输配电价'!$C114：'分表4-电度输配电价'!$C121&amp;'分表4-电度输配电价'!$D114：'分表4-电度输配电价'!$D121,'分表4-电度输配电价'!$E114：'分表4-电度输配电价'!$E121)</f>
      </c>
      <c r="H117" s="34" cm="1">
        <f t="array" ref="H117:H117">_xlfn.XLOOKUP($C$1,'分表4-电度输配电价'!$C114：'分表4-电度输配电价'!$C121&amp;'分表4-电度输配电价'!$D114：'分表4-电度输配电价'!$D121,'分表4-电度输配电价'!$E114：'分表4-电度输配电价'!$E121)</f>
      </c>
      <c r="I117" s="34" cm="1">
        <f t="array" ref="I117:I117">_xlfn.XLOOKUP($C$1,'分表4-电度输配电价'!$C114：'分表4-电度输配电价'!$C121&amp;'分表4-电度输配电价'!$D114：'分表4-电度输配电价'!$D121,'分表4-电度输配电价'!$E114：'分表4-电度输配电价'!$E121)</f>
      </c>
      <c r="J117" s="34" cm="1">
        <f t="array" ref="J117:J117">_xlfn.XLOOKUP($C$1,'分表4-电度输配电价'!$C114：'分表4-电度输配电价'!$C121&amp;'分表4-电度输配电价'!$D114：'分表4-电度输配电价'!$D121,'分表4-电度输配电价'!$E114：'分表4-电度输配电价'!$E121)</f>
      </c>
      <c r="K117" s="34" cm="1">
        <f t="array" ref="K117:K117">_xlfn.XLOOKUP($C$1,'分表4-电度输配电价'!$C114：'分表4-电度输配电价'!$C121&amp;'分表4-电度输配电价'!$D114：'分表4-电度输配电价'!$D121,'分表4-电度输配电价'!$E114：'分表4-电度输配电价'!$E121)</f>
      </c>
      <c r="L117" s="34" cm="1">
        <f t="array" ref="L117:L117">_xlfn.XLOOKUP($C$1,'分表4-电度输配电价'!$C114：'分表4-电度输配电价'!$C121&amp;'分表4-电度输配电价'!$D114：'分表4-电度输配电价'!$D121,'分表4-电度输配电价'!$E114：'分表4-电度输配电价'!$E121)</f>
      </c>
      <c r="M117" s="34" cm="1">
        <f t="array" ref="M117:M117">_xlfn.XLOOKUP($C$1,'分表4-电度输配电价'!$C114：'分表4-电度输配电价'!$C121&amp;'分表4-电度输配电价'!$D114：'分表4-电度输配电价'!$D121,'分表4-电度输配电价'!$E114：'分表4-电度输配电价'!$E121)</f>
      </c>
      <c r="N117" s="34" cm="1">
        <f t="array" ref="N117:N117">_xlfn.XLOOKUP($C$1,'分表4-电度输配电价'!$C114：'分表4-电度输配电价'!$C121&amp;'分表4-电度输配电价'!$D114：'分表4-电度输配电价'!$D121,'分表4-电度输配电价'!$E114：'分表4-电度输配电价'!$E121)</f>
      </c>
      <c r="O117" s="34" cm="1">
        <f t="array" ref="O117:O117">_xlfn.XLOOKUP($C$1,'分表4-电度输配电价'!$C114：'分表4-电度输配电价'!$C121&amp;'分表4-电度输配电价'!$D114：'分表4-电度输配电价'!$D121,'分表4-电度输配电价'!$E114：'分表4-电度输配电价'!$E121)</f>
      </c>
      <c r="P117" s="34">
        <f>IF(SUM(D117:O117)=0,"0",AVERAGEIF(D117:O117,"&lt;&gt;0",D117:O117))</f>
      </c>
      <c r="Q117" s="38"/>
    </row>
    <row r="118">
      <c r="A118" s="34">
        <v>116</v>
      </c>
      <c r="B118" s="40" t="str">
        <v>湖南</v>
      </c>
      <c r="C118" s="39" t="str">
        <v>政府性基金及附加</v>
      </c>
      <c r="D118" s="34" cm="1">
        <f t="array" ref="D118:D118">_xlfn.XLOOKUP($B$118,'分表5-政府性基金及附加'!$B$2：'分表5-政府性基金及附加'!$B$199,'分表5-政府性基金及附加'!$D$2：'分表5-政府性基金及附加'!$D$199)</f>
      </c>
      <c r="E118" s="34" cm="1">
        <f t="array" ref="E118:E118">_xlfn.XLOOKUP($B$118,'分表5-政府性基金及附加'!$B$2：'分表5-政府性基金及附加'!$B$199,'分表5-政府性基金及附加'!$D$2：'分表5-政府性基金及附加'!$D$199)</f>
      </c>
      <c r="F118" s="34" cm="1">
        <f t="array" ref="F118:F118">_xlfn.XLOOKUP($B$118,'分表5-政府性基金及附加'!$B$2：'分表5-政府性基金及附加'!$B$199,'分表5-政府性基金及附加'!$D$2：'分表5-政府性基金及附加'!$D$199)</f>
      </c>
      <c r="G118" s="34" cm="1">
        <f t="array" ref="G118:G118">_xlfn.XLOOKUP($B$118,'分表5-政府性基金及附加'!$B$2：'分表5-政府性基金及附加'!$B$199,'分表5-政府性基金及附加'!$D$2：'分表5-政府性基金及附加'!$D$199)</f>
      </c>
      <c r="H118" s="34" cm="1">
        <f t="array" ref="H118:H118">_xlfn.XLOOKUP($B$118,'分表5-政府性基金及附加'!$B$2：'分表5-政府性基金及附加'!$B$199,'分表5-政府性基金及附加'!$D$2：'分表5-政府性基金及附加'!$D$199)</f>
      </c>
      <c r="I118" s="34" cm="1">
        <f t="array" ref="I118:I118">_xlfn.XLOOKUP($B$118,'分表5-政府性基金及附加'!$B$2：'分表5-政府性基金及附加'!$B$199,'分表5-政府性基金及附加'!$D$2：'分表5-政府性基金及附加'!$D$199)</f>
      </c>
      <c r="J118" s="34" cm="1">
        <f t="array" ref="J118:J118">_xlfn.XLOOKUP($B$118,'分表5-政府性基金及附加'!$B$2：'分表5-政府性基金及附加'!$B$199,'分表5-政府性基金及附加'!$D$2：'分表5-政府性基金及附加'!$D$199)</f>
      </c>
      <c r="K118" s="34" cm="1">
        <f t="array" ref="K118:K118">_xlfn.XLOOKUP($B$118,'分表5-政府性基金及附加'!$B$2：'分表5-政府性基金及附加'!$B$199,'分表5-政府性基金及附加'!$D$2：'分表5-政府性基金及附加'!$D$199)</f>
      </c>
      <c r="L118" s="34" cm="1">
        <f t="array" ref="L118:L118">_xlfn.XLOOKUP($B$118,'分表5-政府性基金及附加'!$B$2：'分表5-政府性基金及附加'!$B$199,'分表5-政府性基金及附加'!$D$2：'分表5-政府性基金及附加'!$D$199)</f>
      </c>
      <c r="M118" s="34" cm="1">
        <f t="array" ref="M118:M118">_xlfn.XLOOKUP($B$118,'分表5-政府性基金及附加'!$B$2：'分表5-政府性基金及附加'!$B$199,'分表5-政府性基金及附加'!$D$2：'分表5-政府性基金及附加'!$D$199)</f>
      </c>
      <c r="N118" s="34" cm="1">
        <f t="array" ref="N118:N118">_xlfn.XLOOKUP($B$118,'分表5-政府性基金及附加'!$B$2：'分表5-政府性基金及附加'!$B$199,'分表5-政府性基金及附加'!$D$2：'分表5-政府性基金及附加'!$D$199)</f>
      </c>
      <c r="O118" s="34" cm="1">
        <f t="array" ref="O118:O118">_xlfn.XLOOKUP($B$118,'分表5-政府性基金及附加'!$B$2：'分表5-政府性基金及附加'!$B$199,'分表5-政府性基金及附加'!$D$2：'分表5-政府性基金及附加'!$D$199)</f>
      </c>
      <c r="P118" s="34">
        <f>IF(SUM(D118:O118)=0,"0",AVERAGEIF(D118:O118,"&lt;&gt;0",D118:O118))</f>
      </c>
      <c r="Q118" s="38"/>
    </row>
    <row r="119">
      <c r="A119" s="34">
        <v>117</v>
      </c>
      <c r="B119" s="40" t="str">
        <v>湖南</v>
      </c>
      <c r="C119" s="39" t="str">
        <v>系统运行费折价</v>
      </c>
      <c r="D119" s="34">
        <f>'分表8-2025三类细分价'!D302</f>
      </c>
      <c r="E119" s="34">
        <f>'分表8-2025三类细分价'!E302</f>
      </c>
      <c r="F119" s="34">
        <f>'分表8-2025三类细分价'!F302</f>
      </c>
      <c r="G119" s="34">
        <f>'分表8-2025三类细分价'!G302</f>
      </c>
      <c r="H119" s="34">
        <f>'分表8-2025三类细分价'!H302</f>
      </c>
      <c r="I119" s="34">
        <f>'分表8-2025三类细分价'!I302</f>
      </c>
      <c r="J119" s="34">
        <f>'分表8-2025三类细分价'!J302</f>
      </c>
      <c r="K119" s="34">
        <f>'分表8-2025三类细分价'!K302</f>
      </c>
      <c r="L119" s="34">
        <f>'分表8-2025三类细分价'!L302</f>
      </c>
      <c r="M119" s="34">
        <f>'分表8-2025三类细分价'!M302</f>
      </c>
      <c r="N119" s="34">
        <f>'分表8-2025三类细分价'!N302</f>
      </c>
      <c r="O119" s="34">
        <f>'分表8-2025三类细分价'!O302</f>
      </c>
      <c r="P119" s="34">
        <f>IF(SUM(D119:O119)=0,"0",AVERAGEIF(D119:O119,"&lt;&gt;0",D119:O119))</f>
      </c>
      <c r="Q119" s="38"/>
    </row>
    <row r="120">
      <c r="A120" s="34">
        <v>118</v>
      </c>
      <c r="B120" s="40" t="str">
        <v>湖南</v>
      </c>
      <c r="C120" s="39" t="str">
        <v>综合平段电价--电网代购</v>
      </c>
      <c r="D120" s="34">
        <f>IF(D117="/","/",SUM(D115:D119))</f>
      </c>
      <c r="E120" s="34">
        <f>IF(E117="/","/",SUM(E115:E119))</f>
      </c>
      <c r="F120" s="34">
        <f>IF(F117="/","/",SUM(F115:F119))</f>
      </c>
      <c r="G120" s="34">
        <f>IF(G117="/","/",SUM(G115:G119))</f>
      </c>
      <c r="H120" s="34">
        <f>IF(H117="/","/",SUM(H115:H119))</f>
      </c>
      <c r="I120" s="34">
        <f>IF(I117="/","/",SUM(I115:I119))</f>
      </c>
      <c r="J120" s="34">
        <f>IF(J117="/","/",SUM(J115:J119))</f>
      </c>
      <c r="K120" s="34">
        <f>IF(K117="/","/",SUM(K115:K119))</f>
      </c>
      <c r="L120" s="34">
        <f>IF(L117="/","/",SUM(L115:L119))</f>
      </c>
      <c r="M120" s="34">
        <f>IF(M117="/","/",SUM(M115:M119))</f>
      </c>
      <c r="N120" s="34">
        <f>IF(N117="/","/",SUM(N115:N119))</f>
      </c>
      <c r="O120" s="34">
        <f>IF(O117="/","/",SUM(O115:O119))</f>
      </c>
      <c r="P120" s="34">
        <f>IF(SUM(D120:O120)=0,"0",AVERAGEIF(D120:O120,"&lt;&gt;0",D120:O120))</f>
      </c>
      <c r="Q120" s="38"/>
    </row>
    <row r="121">
      <c r="A121" s="34">
        <v>119</v>
      </c>
      <c r="B121" s="40" t="str">
        <v>湖南</v>
      </c>
      <c r="C121" s="39" t="str">
        <v>入市交易购电价格</v>
      </c>
      <c r="D121" s="34">
        <f>'分表9-2025交易价格'!D16</f>
      </c>
      <c r="E121" s="34">
        <f>'分表9-2025交易价格'!E16</f>
      </c>
      <c r="F121" s="34">
        <f>'分表9-2025交易价格'!F16</f>
      </c>
      <c r="G121" s="34">
        <f>'分表9-2025交易价格'!G16</f>
      </c>
      <c r="H121" s="34">
        <f>'分表9-2025交易价格'!H16</f>
      </c>
      <c r="I121" s="34">
        <f>'分表9-2025交易价格'!I16</f>
      </c>
      <c r="J121" s="34">
        <f>'分表9-2025交易价格'!J16</f>
      </c>
      <c r="K121" s="34">
        <f>'分表9-2025交易价格'!K16</f>
      </c>
      <c r="L121" s="34">
        <f>'分表9-2025交易价格'!L16</f>
      </c>
      <c r="M121" s="34">
        <f>'分表9-2025交易价格'!M16</f>
      </c>
      <c r="N121" s="34">
        <f>'分表9-2025交易价格'!N16</f>
      </c>
      <c r="O121" s="34">
        <f>'分表9-2025交易价格'!O16</f>
      </c>
      <c r="P121" s="34">
        <f>IF(SUM(D121:O121)=0,"0",AVERAGEIF(D121:O121,"&lt;&gt;0",D121:O121))</f>
      </c>
      <c r="Q121" s="38"/>
    </row>
    <row customHeight="true" ht="19" r="122">
      <c r="A122" s="34">
        <v>120</v>
      </c>
      <c r="B122" s="40" t="str">
        <v>湖南</v>
      </c>
      <c r="C122" s="39" t="str">
        <v>综合平段电价--入市交易</v>
      </c>
      <c r="D122" s="34">
        <f>IF(D117="/","/",IF(D121&gt;0,D121+SUM(D116:D119),"/"))</f>
      </c>
      <c r="E122" s="34">
        <f>IF(E117="/","/",IF(E121&gt;0,E121+SUM(E116:E119),"/"))</f>
      </c>
      <c r="F122" s="34">
        <f>IF(F117="/","/",IF(F121&gt;0,F121+SUM(F116:F119),"/"))</f>
      </c>
      <c r="G122" s="34">
        <f>IF(G117="/","/",IF(G121&gt;0,G121+SUM(G116:G119),"/"))</f>
      </c>
      <c r="H122" s="34">
        <f>IF(H117="/","/",IF(H121&gt;0,H121+SUM(H116:H119),"/"))</f>
      </c>
      <c r="I122" s="34">
        <f>IF(I117="/","/",IF(I121&gt;0,I121+SUM(I116:I119),"/"))</f>
      </c>
      <c r="J122" s="34">
        <f>IF(J117="/","/",IF(J121&gt;0,J121+SUM(J116:J119),"/"))</f>
      </c>
      <c r="K122" s="34">
        <f>IF(K117="/","/",IF(K121&gt;0,K121+SUM(K116:K119),"/"))</f>
      </c>
      <c r="L122" s="34">
        <f>IF(L117="/","/",IF(L121&gt;0,L121+SUM(L116:L119),"/"))</f>
      </c>
      <c r="M122" s="34">
        <f>IF(M117="/","/",IF(M121&gt;0,M121+SUM(M116:M119),"/"))</f>
      </c>
      <c r="N122" s="34">
        <f>IF(N117="/","/",IF(N121&gt;0,N121+SUM(N116:N119),"/"))</f>
      </c>
      <c r="O122" s="34">
        <f>IF(O117="/","/",IF(O121&gt;0,O121+SUM(O116:O119),"/"))</f>
      </c>
      <c r="P122" s="34">
        <f>IF(SUM(D122:O122)=0,"0",AVERAGEIF(D122:O122,"&lt;&gt;0",D122:O122))</f>
      </c>
      <c r="Q122" s="38"/>
    </row>
    <row r="123">
      <c r="A123" s="34">
        <v>121</v>
      </c>
      <c r="B123" s="31" t="str">
        <v>江西</v>
      </c>
      <c r="C123" s="37" t="str">
        <v>代理购电价格</v>
      </c>
      <c r="D123" s="36">
        <f>'分表8-2025三类细分价'!D319</f>
      </c>
      <c r="E123" s="36">
        <f>'分表8-2025三类细分价'!E319</f>
      </c>
      <c r="F123" s="36">
        <f>'分表8-2025三类细分价'!F319</f>
      </c>
      <c r="G123" s="36">
        <f>'分表8-2025三类细分价'!G319</f>
      </c>
      <c r="H123" s="36">
        <f>'分表8-2025三类细分价'!H319</f>
      </c>
      <c r="I123" s="36">
        <f>'分表8-2025三类细分价'!I319</f>
      </c>
      <c r="J123" s="36">
        <f>'分表8-2025三类细分价'!J319</f>
      </c>
      <c r="K123" s="36">
        <f>'分表8-2025三类细分价'!K319</f>
      </c>
      <c r="L123" s="36">
        <f>'分表8-2025三类细分价'!L319</f>
      </c>
      <c r="M123" s="36">
        <f>'分表8-2025三类细分价'!M319</f>
      </c>
      <c r="N123" s="36">
        <f>'分表8-2025三类细分价'!N319</f>
      </c>
      <c r="O123" s="36">
        <f>'分表8-2025三类细分价'!O319</f>
      </c>
      <c r="P123" s="36">
        <f>IF(SUM(D123:O123)=0,"0",AVERAGEIF(D123:O123,"&lt;&gt;0",D123:O123))</f>
      </c>
      <c r="Q123" s="35"/>
    </row>
    <row r="124">
      <c r="A124" s="34">
        <v>122</v>
      </c>
      <c r="B124" s="31" t="str">
        <v>江西</v>
      </c>
      <c r="C124" s="37" t="str">
        <v>上网环节线损电价</v>
      </c>
      <c r="D124" s="32">
        <f>'分表8-2025三类细分价'!D322</f>
      </c>
      <c r="E124" s="32">
        <f>'分表8-2025三类细分价'!E322</f>
      </c>
      <c r="F124" s="32">
        <f>'分表8-2025三类细分价'!F322</f>
      </c>
      <c r="G124" s="32">
        <f>'分表8-2025三类细分价'!G322</f>
      </c>
      <c r="H124" s="32">
        <f>'分表8-2025三类细分价'!H322</f>
      </c>
      <c r="I124" s="32">
        <f>'分表8-2025三类细分价'!I322</f>
      </c>
      <c r="J124" s="32">
        <f>'分表8-2025三类细分价'!J322</f>
      </c>
      <c r="K124" s="32">
        <f>'分表8-2025三类细分价'!K322</f>
      </c>
      <c r="L124" s="32">
        <f>'分表8-2025三类细分价'!L322</f>
      </c>
      <c r="M124" s="32">
        <f>'分表8-2025三类细分价'!M322</f>
      </c>
      <c r="N124" s="32">
        <f>'分表8-2025三类细分价'!N322</f>
      </c>
      <c r="O124" s="32">
        <f>'分表8-2025三类细分价'!O322</f>
      </c>
      <c r="P124" s="36">
        <f>IF(SUM(D124:O124)=0,"0",AVERAGEIF(D124:O124,"&lt;&gt;0",D124:O124))</f>
      </c>
      <c r="Q124" s="35"/>
    </row>
    <row r="125">
      <c r="A125" s="34">
        <v>123</v>
      </c>
      <c r="B125" s="31" t="str">
        <v>江西</v>
      </c>
      <c r="C125" s="37" t="str">
        <v>电度输配电价</v>
      </c>
      <c r="D125" s="36" cm="1">
        <f t="array" ref="D125:D125">_xlfn.XLOOKUP($C$1,'分表4-电度输配电价'!$C122：'分表4-电度输配电价'!$C129&amp;'分表4-电度输配电价'!$D122：'分表4-电度输配电价'!$D129,'分表4-电度输配电价'!$E122：'分表4-电度输配电价'!$E129)</f>
      </c>
      <c r="E125" s="36" cm="1">
        <f t="array" ref="E125:E125">_xlfn.XLOOKUP($C$1,'分表4-电度输配电价'!$C122：'分表4-电度输配电价'!$C129&amp;'分表4-电度输配电价'!$D122：'分表4-电度输配电价'!$D129,'分表4-电度输配电价'!$E122：'分表4-电度输配电价'!$E129)</f>
      </c>
      <c r="F125" s="36" cm="1">
        <f t="array" ref="F125:F125">_xlfn.XLOOKUP($C$1,'分表4-电度输配电价'!$C122：'分表4-电度输配电价'!$C129&amp;'分表4-电度输配电价'!$D122：'分表4-电度输配电价'!$D129,'分表4-电度输配电价'!$E122：'分表4-电度输配电价'!$E129)</f>
      </c>
      <c r="G125" s="36" cm="1">
        <f t="array" ref="G125:G125">_xlfn.XLOOKUP($C$1,'分表4-电度输配电价'!$C122：'分表4-电度输配电价'!$C129&amp;'分表4-电度输配电价'!$D122：'分表4-电度输配电价'!$D129,'分表4-电度输配电价'!$E122：'分表4-电度输配电价'!$E129)</f>
      </c>
      <c r="H125" s="36" cm="1">
        <f t="array" ref="H125:H125">_xlfn.XLOOKUP($C$1,'分表4-电度输配电价'!$C122：'分表4-电度输配电价'!$C129&amp;'分表4-电度输配电价'!$D122：'分表4-电度输配电价'!$D129,'分表4-电度输配电价'!$E122：'分表4-电度输配电价'!$E129)</f>
      </c>
      <c r="I125" s="36" cm="1">
        <f t="array" ref="I125:I125">_xlfn.XLOOKUP($C$1,'分表4-电度输配电价'!$C122：'分表4-电度输配电价'!$C129&amp;'分表4-电度输配电价'!$D122：'分表4-电度输配电价'!$D129,'分表4-电度输配电价'!$E122：'分表4-电度输配电价'!$E129)</f>
      </c>
      <c r="J125" s="36" cm="1">
        <f t="array" ref="J125:J125">_xlfn.XLOOKUP($C$1,'分表4-电度输配电价'!$C122：'分表4-电度输配电价'!$C129&amp;'分表4-电度输配电价'!$D122：'分表4-电度输配电价'!$D129,'分表4-电度输配电价'!$E122：'分表4-电度输配电价'!$E129)</f>
      </c>
      <c r="K125" s="36" cm="1">
        <f t="array" ref="K125:K125">_xlfn.XLOOKUP($C$1,'分表4-电度输配电价'!$C122：'分表4-电度输配电价'!$C129&amp;'分表4-电度输配电价'!$D122：'分表4-电度输配电价'!$D129,'分表4-电度输配电价'!$E122：'分表4-电度输配电价'!$E129)</f>
      </c>
      <c r="L125" s="36" cm="1">
        <f t="array" ref="L125:L125">_xlfn.XLOOKUP($C$1,'分表4-电度输配电价'!$C122：'分表4-电度输配电价'!$C129&amp;'分表4-电度输配电价'!$D122：'分表4-电度输配电价'!$D129,'分表4-电度输配电价'!$E122：'分表4-电度输配电价'!$E129)</f>
      </c>
      <c r="M125" s="36" cm="1">
        <f t="array" ref="M125:M125">_xlfn.XLOOKUP($C$1,'分表4-电度输配电价'!$C122：'分表4-电度输配电价'!$C129&amp;'分表4-电度输配电价'!$D122：'分表4-电度输配电价'!$D129,'分表4-电度输配电价'!$E122：'分表4-电度输配电价'!$E129)</f>
      </c>
      <c r="N125" s="36" cm="1">
        <f t="array" ref="N125:N125">_xlfn.XLOOKUP($C$1,'分表4-电度输配电价'!$C122：'分表4-电度输配电价'!$C129&amp;'分表4-电度输配电价'!$D122：'分表4-电度输配电价'!$D129,'分表4-电度输配电价'!$E122：'分表4-电度输配电价'!$E129)</f>
      </c>
      <c r="O125" s="36" cm="1">
        <f t="array" ref="O125:O125">_xlfn.XLOOKUP($C$1,'分表4-电度输配电价'!$C122：'分表4-电度输配电价'!$C129&amp;'分表4-电度输配电价'!$D122：'分表4-电度输配电价'!$D129,'分表4-电度输配电价'!$E122：'分表4-电度输配电价'!$E129)</f>
      </c>
      <c r="P125" s="36">
        <f>IF(SUM(D125:O125)=0,"0",AVERAGEIF(D125:O125,"&lt;&gt;0",D125:O125))</f>
      </c>
      <c r="Q125" s="35"/>
    </row>
    <row r="126">
      <c r="A126" s="34">
        <v>124</v>
      </c>
      <c r="B126" s="31" t="str">
        <v>江西</v>
      </c>
      <c r="C126" s="37" t="str">
        <v>政府性基金及附加</v>
      </c>
      <c r="D126" s="36" cm="1">
        <f t="array" ref="D126:D126">_xlfn.XLOOKUP($B$126,'分表5-政府性基金及附加'!$B$2：'分表5-政府性基金及附加'!$B$199,'分表5-政府性基金及附加'!$D$2：'分表5-政府性基金及附加'!$D$199)</f>
      </c>
      <c r="E126" s="36" cm="1">
        <f t="array" ref="E126:E126">_xlfn.XLOOKUP($B$126,'分表5-政府性基金及附加'!$B$2：'分表5-政府性基金及附加'!$B$199,'分表5-政府性基金及附加'!$D$2：'分表5-政府性基金及附加'!$D$199)</f>
      </c>
      <c r="F126" s="36" cm="1">
        <f t="array" ref="F126:F126">_xlfn.XLOOKUP($B$126,'分表5-政府性基金及附加'!$B$2：'分表5-政府性基金及附加'!$B$199,'分表5-政府性基金及附加'!$D$2：'分表5-政府性基金及附加'!$D$199)</f>
      </c>
      <c r="G126" s="36" cm="1">
        <f t="array" ref="G126:G126">_xlfn.XLOOKUP($B$126,'分表5-政府性基金及附加'!$B$2：'分表5-政府性基金及附加'!$B$199,'分表5-政府性基金及附加'!$D$2：'分表5-政府性基金及附加'!$D$199)</f>
      </c>
      <c r="H126" s="36" cm="1">
        <f t="array" ref="H126:H126">_xlfn.XLOOKUP($B$126,'分表5-政府性基金及附加'!$B$2：'分表5-政府性基金及附加'!$B$199,'分表5-政府性基金及附加'!$D$2：'分表5-政府性基金及附加'!$D$199)</f>
      </c>
      <c r="I126" s="36" cm="1">
        <f t="array" ref="I126:I126">_xlfn.XLOOKUP($B$126,'分表5-政府性基金及附加'!$B$2：'分表5-政府性基金及附加'!$B$199,'分表5-政府性基金及附加'!$D$2：'分表5-政府性基金及附加'!$D$199)</f>
      </c>
      <c r="J126" s="36" cm="1">
        <f t="array" ref="J126:J126">_xlfn.XLOOKUP($B$126,'分表5-政府性基金及附加'!$B$2：'分表5-政府性基金及附加'!$B$199,'分表5-政府性基金及附加'!$D$2：'分表5-政府性基金及附加'!$D$199)</f>
      </c>
      <c r="K126" s="36" cm="1">
        <f t="array" ref="K126:K126">_xlfn.XLOOKUP($B$126,'分表5-政府性基金及附加'!$B$2：'分表5-政府性基金及附加'!$B$199,'分表5-政府性基金及附加'!$D$2：'分表5-政府性基金及附加'!$D$199)</f>
      </c>
      <c r="L126" s="36" cm="1">
        <f t="array" ref="L126:L126">_xlfn.XLOOKUP($B$126,'分表5-政府性基金及附加'!$B$2：'分表5-政府性基金及附加'!$B$199,'分表5-政府性基金及附加'!$D$2：'分表5-政府性基金及附加'!$D$199)</f>
      </c>
      <c r="M126" s="36" cm="1">
        <f t="array" ref="M126:M126">_xlfn.XLOOKUP($B$126,'分表5-政府性基金及附加'!$B$2：'分表5-政府性基金及附加'!$B$199,'分表5-政府性基金及附加'!$D$2：'分表5-政府性基金及附加'!$D$199)</f>
      </c>
      <c r="N126" s="36" cm="1">
        <f t="array" ref="N126:N126">_xlfn.XLOOKUP($B$126,'分表5-政府性基金及附加'!$B$2：'分表5-政府性基金及附加'!$B$199,'分表5-政府性基金及附加'!$D$2：'分表5-政府性基金及附加'!$D$199)</f>
      </c>
      <c r="O126" s="36" cm="1">
        <f t="array" ref="O126:O126">_xlfn.XLOOKUP($B$126,'分表5-政府性基金及附加'!$B$2：'分表5-政府性基金及附加'!$B$199,'分表5-政府性基金及附加'!$D$2：'分表5-政府性基金及附加'!$D$199)</f>
      </c>
      <c r="P126" s="36">
        <f>IF(SUM(D126:O126)=0,"0",AVERAGEIF(D126:O126,"&lt;&gt;0",D126:O126))</f>
      </c>
      <c r="Q126" s="35"/>
    </row>
    <row r="127">
      <c r="A127" s="34">
        <v>125</v>
      </c>
      <c r="B127" s="31" t="str">
        <v>江西</v>
      </c>
      <c r="C127" s="37" t="str">
        <v>系统运行费折价</v>
      </c>
      <c r="D127" s="32">
        <f>'分表8-2025三类细分价'!D323</f>
      </c>
      <c r="E127" s="32">
        <f>'分表8-2025三类细分价'!E323</f>
      </c>
      <c r="F127" s="32">
        <f>'分表8-2025三类细分价'!F323</f>
      </c>
      <c r="G127" s="32">
        <f>'分表8-2025三类细分价'!G323</f>
      </c>
      <c r="H127" s="32">
        <f>'分表8-2025三类细分价'!H323</f>
      </c>
      <c r="I127" s="32">
        <f>'分表8-2025三类细分价'!I323</f>
      </c>
      <c r="J127" s="32">
        <f>'分表8-2025三类细分价'!J323</f>
      </c>
      <c r="K127" s="32">
        <f>'分表8-2025三类细分价'!K323</f>
      </c>
      <c r="L127" s="32">
        <f>'分表8-2025三类细分价'!L323</f>
      </c>
      <c r="M127" s="32">
        <f>'分表8-2025三类细分价'!M323</f>
      </c>
      <c r="N127" s="32">
        <f>'分表8-2025三类细分价'!N323</f>
      </c>
      <c r="O127" s="32">
        <f>'分表8-2025三类细分价'!O323</f>
      </c>
      <c r="P127" s="36">
        <f>IF(SUM(D127:O127)=0,"0",AVERAGEIF(D127:O127,"&lt;&gt;0",D127:O127))</f>
      </c>
      <c r="Q127" s="35"/>
    </row>
    <row customHeight="true" ht="19" r="128">
      <c r="A128" s="34">
        <v>126</v>
      </c>
      <c r="B128" s="31" t="str">
        <v>江西</v>
      </c>
      <c r="C128" s="37" t="str">
        <v>综合平段电价--电网代购</v>
      </c>
      <c r="D128" s="36">
        <f>IF(D125="/","/",SUM(D123:D127))</f>
      </c>
      <c r="E128" s="36">
        <f>IF(E125="/","/",SUM(E123:E127))</f>
      </c>
      <c r="F128" s="36">
        <f>IF(F125="/","/",SUM(F123:F127))</f>
      </c>
      <c r="G128" s="36">
        <f>IF(G125="/","/",SUM(G123:G127))</f>
      </c>
      <c r="H128" s="36">
        <f>IF(H125="/","/",SUM(H123:H127))</f>
      </c>
      <c r="I128" s="36">
        <f>IF(I125="/","/",SUM(I123:I127))</f>
      </c>
      <c r="J128" s="36">
        <f>IF(J125="/","/",SUM(J123:J127))</f>
      </c>
      <c r="K128" s="36">
        <f>IF(K125="/","/",SUM(K123:K127))</f>
      </c>
      <c r="L128" s="36">
        <f>IF(L125="/","/",SUM(L123:L127))</f>
      </c>
      <c r="M128" s="36">
        <f>IF(M125="/","/",SUM(M123:M127))</f>
      </c>
      <c r="N128" s="36">
        <f>IF(N125="/","/",SUM(N123:N127))</f>
      </c>
      <c r="O128" s="36">
        <f>IF(O125="/","/",SUM(O123:O127))</f>
      </c>
      <c r="P128" s="36">
        <f>IF(SUM(D128:O128)=0,"0",AVERAGEIF(D128:O128,"&lt;&gt;0",D128:O128))</f>
      </c>
      <c r="Q128" s="35"/>
    </row>
    <row r="129">
      <c r="A129" s="34">
        <v>127</v>
      </c>
      <c r="B129" s="31" t="str">
        <v>江西</v>
      </c>
      <c r="C129" s="37" t="str">
        <v>入市交易购电价格</v>
      </c>
      <c r="D129" s="32">
        <f>'分表9-2025交易价格'!D17</f>
      </c>
      <c r="E129" s="32">
        <f>'分表9-2025交易价格'!E17</f>
      </c>
      <c r="F129" s="32">
        <f>'分表9-2025交易价格'!F17</f>
      </c>
      <c r="G129" s="32">
        <f>'分表9-2025交易价格'!G17</f>
      </c>
      <c r="H129" s="32">
        <f>'分表9-2025交易价格'!H17</f>
      </c>
      <c r="I129" s="32">
        <f>'分表9-2025交易价格'!I17</f>
      </c>
      <c r="J129" s="32">
        <f>'分表9-2025交易价格'!J17</f>
      </c>
      <c r="K129" s="32">
        <f>'分表9-2025交易价格'!K17</f>
      </c>
      <c r="L129" s="32">
        <f>'分表9-2025交易价格'!L17</f>
      </c>
      <c r="M129" s="32">
        <f>'分表9-2025交易价格'!M17</f>
      </c>
      <c r="N129" s="32">
        <f>'分表9-2025交易价格'!N17</f>
      </c>
      <c r="O129" s="32">
        <f>'分表9-2025交易价格'!O17</f>
      </c>
      <c r="P129" s="36">
        <f>IF(SUM(D129:O129)=0,"0",AVERAGEIF(D129:O129,"&lt;&gt;0",D129:O129))</f>
      </c>
      <c r="Q129" s="35"/>
    </row>
    <row r="130">
      <c r="A130" s="34">
        <v>128</v>
      </c>
      <c r="B130" s="31" t="str">
        <v>江西</v>
      </c>
      <c r="C130" s="37" t="str">
        <v>综合平段电价--入市交易</v>
      </c>
      <c r="D130" s="36">
        <f>IF(D125="/","/",IF(D129&gt;0,D129+SUM(D124:D127),"/"))</f>
      </c>
      <c r="E130" s="36">
        <f>IF(E125="/","/",IF(E129&gt;0,E129+SUM(E124:E127),"/"))</f>
      </c>
      <c r="F130" s="36">
        <f>IF(F125="/","/",IF(F129&gt;0,F129+SUM(F124:F127),"/"))</f>
      </c>
      <c r="G130" s="36">
        <f>IF(G125="/","/",IF(G129&gt;0,G129+SUM(G124:G127),"/"))</f>
      </c>
      <c r="H130" s="36">
        <f>IF(H125="/","/",IF(H129&gt;0,H129+SUM(H124:H127),"/"))</f>
      </c>
      <c r="I130" s="36">
        <f>IF(I125="/","/",IF(I129&gt;0,I129+SUM(I124:I127),"/"))</f>
      </c>
      <c r="J130" s="36">
        <f>IF(J125="/","/",IF(J129&gt;0,J129+SUM(J124:J127),"/"))</f>
      </c>
      <c r="K130" s="36">
        <f>IF(K125="/","/",IF(K129&gt;0,K129+SUM(K124:K127),"/"))</f>
      </c>
      <c r="L130" s="36">
        <f>IF(L125="/","/",IF(L129&gt;0,L129+SUM(L124:L127),"/"))</f>
      </c>
      <c r="M130" s="36">
        <f>IF(M125="/","/",IF(M129&gt;0,M129+SUM(M124:M127),"/"))</f>
      </c>
      <c r="N130" s="36">
        <f>IF(N125="/","/",IF(N129&gt;0,N129+SUM(N124:N127),"/"))</f>
      </c>
      <c r="O130" s="36">
        <f>IF(O125="/","/",IF(O129&gt;0,O129+SUM(O124:O127),"/"))</f>
      </c>
      <c r="P130" s="36">
        <f>IF(SUM(D130:O130)=0,"0",AVERAGEIF(D130:O130,"&lt;&gt;0",D130:O130))</f>
      </c>
      <c r="Q130" s="35"/>
    </row>
    <row r="131">
      <c r="A131" s="34">
        <v>129</v>
      </c>
      <c r="B131" s="40" t="str">
        <v>辽宁</v>
      </c>
      <c r="C131" s="39" t="str">
        <v>代理购电价格</v>
      </c>
      <c r="D131" s="34">
        <f>'分表8-2025三类细分价'!D340</f>
      </c>
      <c r="E131" s="34">
        <f>'分表8-2025三类细分价'!E340</f>
      </c>
      <c r="F131" s="34">
        <f>'分表8-2025三类细分价'!F340</f>
      </c>
      <c r="G131" s="34">
        <f>'分表8-2025三类细分价'!G340</f>
      </c>
      <c r="H131" s="34">
        <f>'分表8-2025三类细分价'!H340</f>
      </c>
      <c r="I131" s="34">
        <f>'分表8-2025三类细分价'!I340</f>
      </c>
      <c r="J131" s="34">
        <f>'分表8-2025三类细分价'!J340</f>
      </c>
      <c r="K131" s="34">
        <f>'分表8-2025三类细分价'!K340</f>
      </c>
      <c r="L131" s="34">
        <f>'分表8-2025三类细分价'!L340</f>
      </c>
      <c r="M131" s="34">
        <f>'分表8-2025三类细分价'!M340</f>
      </c>
      <c r="N131" s="34">
        <f>'分表8-2025三类细分价'!N340</f>
      </c>
      <c r="O131" s="34">
        <f>'分表8-2025三类细分价'!O340</f>
      </c>
      <c r="P131" s="34">
        <f>IF(SUM(D131:O131)=0,"0",AVERAGEIF(D131:O131,"&lt;&gt;0",D131:O131))</f>
      </c>
      <c r="Q131" s="38"/>
    </row>
    <row r="132">
      <c r="A132" s="34">
        <v>130</v>
      </c>
      <c r="B132" s="40" t="str">
        <v>辽宁</v>
      </c>
      <c r="C132" s="39" t="str">
        <v>上网环节线损电价</v>
      </c>
      <c r="D132" s="34">
        <f>'分表8-2025三类细分价'!D343</f>
      </c>
      <c r="E132" s="34">
        <f>'分表8-2025三类细分价'!E343</f>
      </c>
      <c r="F132" s="34">
        <f>'分表8-2025三类细分价'!F343</f>
      </c>
      <c r="G132" s="34">
        <f>'分表8-2025三类细分价'!G343</f>
      </c>
      <c r="H132" s="34">
        <f>'分表8-2025三类细分价'!H343</f>
      </c>
      <c r="I132" s="34">
        <f>'分表8-2025三类细分价'!I343</f>
      </c>
      <c r="J132" s="34">
        <f>'分表8-2025三类细分价'!J343</f>
      </c>
      <c r="K132" s="34">
        <f>'分表8-2025三类细分价'!K343</f>
      </c>
      <c r="L132" s="34">
        <f>'分表8-2025三类细分价'!L343</f>
      </c>
      <c r="M132" s="34">
        <f>'分表8-2025三类细分价'!M343</f>
      </c>
      <c r="N132" s="34">
        <f>'分表8-2025三类细分价'!N343</f>
      </c>
      <c r="O132" s="34">
        <f>'分表8-2025三类细分价'!O343</f>
      </c>
      <c r="P132" s="34">
        <f>IF(SUM(D132:O132)=0,"0",AVERAGEIF(D132:O132,"&lt;&gt;0",D132:O132))</f>
      </c>
      <c r="Q132" s="38"/>
    </row>
    <row r="133">
      <c r="A133" s="34">
        <v>131</v>
      </c>
      <c r="B133" s="40" t="str">
        <v>辽宁</v>
      </c>
      <c r="C133" s="39" t="str">
        <v>电度输配电价</v>
      </c>
      <c r="D133" s="34" cm="1">
        <f t="array" ref="D133:D133">_xlfn.XLOOKUP($C$1,'分表4-电度输配电价'!$C130：'分表4-电度输配电价'!$C137&amp;'分表4-电度输配电价'!$D130：'分表4-电度输配电价'!$D137,'分表4-电度输配电价'!$E130：'分表4-电度输配电价'!$E137)</f>
      </c>
      <c r="E133" s="34" cm="1">
        <f t="array" ref="E133:E133">_xlfn.XLOOKUP($C$1,'分表4-电度输配电价'!$C130：'分表4-电度输配电价'!$C137&amp;'分表4-电度输配电价'!$D130：'分表4-电度输配电价'!$D137,'分表4-电度输配电价'!$E130：'分表4-电度输配电价'!$E137)</f>
      </c>
      <c r="F133" s="34" cm="1">
        <f t="array" ref="F133:F133">_xlfn.XLOOKUP($C$1,'分表4-电度输配电价'!$C130：'分表4-电度输配电价'!$C137&amp;'分表4-电度输配电价'!$D130：'分表4-电度输配电价'!$D137,'分表4-电度输配电价'!$E130：'分表4-电度输配电价'!$E137)</f>
      </c>
      <c r="G133" s="34" cm="1">
        <f t="array" ref="G133:G133">_xlfn.XLOOKUP($C$1,'分表4-电度输配电价'!$C130：'分表4-电度输配电价'!$C137&amp;'分表4-电度输配电价'!$D130：'分表4-电度输配电价'!$D137,'分表4-电度输配电价'!$E130：'分表4-电度输配电价'!$E137)</f>
      </c>
      <c r="H133" s="34" cm="1">
        <f t="array" ref="H133:H133">_xlfn.XLOOKUP($C$1,'分表4-电度输配电价'!$C130：'分表4-电度输配电价'!$C137&amp;'分表4-电度输配电价'!$D130：'分表4-电度输配电价'!$D137,'分表4-电度输配电价'!$E130：'分表4-电度输配电价'!$E137)</f>
      </c>
      <c r="I133" s="34" cm="1">
        <f t="array" ref="I133:I133">_xlfn.XLOOKUP($C$1,'分表4-电度输配电价'!$C130：'分表4-电度输配电价'!$C137&amp;'分表4-电度输配电价'!$D130：'分表4-电度输配电价'!$D137,'分表4-电度输配电价'!$E130：'分表4-电度输配电价'!$E137)</f>
      </c>
      <c r="J133" s="34" cm="1">
        <f t="array" ref="J133:J133">_xlfn.XLOOKUP($C$1,'分表4-电度输配电价'!$C130：'分表4-电度输配电价'!$C137&amp;'分表4-电度输配电价'!$D130：'分表4-电度输配电价'!$D137,'分表4-电度输配电价'!$E130：'分表4-电度输配电价'!$E137)</f>
      </c>
      <c r="K133" s="34" cm="1">
        <f t="array" ref="K133:K133">_xlfn.XLOOKUP($C$1,'分表4-电度输配电价'!$C130：'分表4-电度输配电价'!$C137&amp;'分表4-电度输配电价'!$D130：'分表4-电度输配电价'!$D137,'分表4-电度输配电价'!$E130：'分表4-电度输配电价'!$E137)</f>
      </c>
      <c r="L133" s="34" cm="1">
        <f t="array" ref="L133:L133">_xlfn.XLOOKUP($C$1,'分表4-电度输配电价'!$C130：'分表4-电度输配电价'!$C137&amp;'分表4-电度输配电价'!$D130：'分表4-电度输配电价'!$D137,'分表4-电度输配电价'!$E130：'分表4-电度输配电价'!$E137)</f>
      </c>
      <c r="M133" s="34" cm="1">
        <f t="array" ref="M133:M133">_xlfn.XLOOKUP($C$1,'分表4-电度输配电价'!$C130：'分表4-电度输配电价'!$C137&amp;'分表4-电度输配电价'!$D130：'分表4-电度输配电价'!$D137,'分表4-电度输配电价'!$E130：'分表4-电度输配电价'!$E137)</f>
      </c>
      <c r="N133" s="34" cm="1">
        <f t="array" ref="N133:N133">_xlfn.XLOOKUP($C$1,'分表4-电度输配电价'!$C130：'分表4-电度输配电价'!$C137&amp;'分表4-电度输配电价'!$D130：'分表4-电度输配电价'!$D137,'分表4-电度输配电价'!$E130：'分表4-电度输配电价'!$E137)</f>
      </c>
      <c r="O133" s="34" cm="1">
        <f t="array" ref="O133:O133">_xlfn.XLOOKUP($C$1,'分表4-电度输配电价'!$C130：'分表4-电度输配电价'!$C137&amp;'分表4-电度输配电价'!$D130：'分表4-电度输配电价'!$D137,'分表4-电度输配电价'!$E130：'分表4-电度输配电价'!$E137)</f>
      </c>
      <c r="P133" s="34">
        <f>IF(SUM(D133:O133)=0,"0",AVERAGEIF(D133:O133,"&lt;&gt;0",D133:O133))</f>
      </c>
      <c r="Q133" s="38"/>
    </row>
    <row customHeight="true" ht="19" r="134">
      <c r="A134" s="34">
        <v>132</v>
      </c>
      <c r="B134" s="40" t="str">
        <v>辽宁</v>
      </c>
      <c r="C134" s="39" t="str">
        <v>政府性基金及附加</v>
      </c>
      <c r="D134" s="34" cm="1">
        <f t="array" ref="D134:D134">_xlfn.XLOOKUP($B$134,'分表5-政府性基金及附加'!$B$2：'分表5-政府性基金及附加'!$B$199,'分表5-政府性基金及附加'!$D$2：'分表5-政府性基金及附加'!$D$199)</f>
      </c>
      <c r="E134" s="34" cm="1">
        <f t="array" ref="E134:E134">_xlfn.XLOOKUP($B$134,'分表5-政府性基金及附加'!$B$2：'分表5-政府性基金及附加'!$B$199,'分表5-政府性基金及附加'!$D$2：'分表5-政府性基金及附加'!$D$199)</f>
      </c>
      <c r="F134" s="34" cm="1">
        <f t="array" ref="F134:F134">_xlfn.XLOOKUP($B$134,'分表5-政府性基金及附加'!$B$2：'分表5-政府性基金及附加'!$B$199,'分表5-政府性基金及附加'!$D$2：'分表5-政府性基金及附加'!$D$199)</f>
      </c>
      <c r="G134" s="34" cm="1">
        <f t="array" ref="G134:G134">_xlfn.XLOOKUP($B$134,'分表5-政府性基金及附加'!$B$2：'分表5-政府性基金及附加'!$B$199,'分表5-政府性基金及附加'!$D$2：'分表5-政府性基金及附加'!$D$199)</f>
      </c>
      <c r="H134" s="34" cm="1">
        <f t="array" ref="H134:H134">_xlfn.XLOOKUP($B$134,'分表5-政府性基金及附加'!$B$2：'分表5-政府性基金及附加'!$B$199,'分表5-政府性基金及附加'!$D$2：'分表5-政府性基金及附加'!$D$199)</f>
      </c>
      <c r="I134" s="34" cm="1">
        <f t="array" ref="I134:I134">_xlfn.XLOOKUP($B$134,'分表5-政府性基金及附加'!$B$2：'分表5-政府性基金及附加'!$B$199,'分表5-政府性基金及附加'!$D$2：'分表5-政府性基金及附加'!$D$199)</f>
      </c>
      <c r="J134" s="34" cm="1">
        <f t="array" ref="J134:J134">_xlfn.XLOOKUP($B$134,'分表5-政府性基金及附加'!$B$2：'分表5-政府性基金及附加'!$B$199,'分表5-政府性基金及附加'!$D$2：'分表5-政府性基金及附加'!$D$199)</f>
      </c>
      <c r="K134" s="34" cm="1">
        <f t="array" ref="K134:K134">_xlfn.XLOOKUP($B$134,'分表5-政府性基金及附加'!$B$2：'分表5-政府性基金及附加'!$B$199,'分表5-政府性基金及附加'!$D$2：'分表5-政府性基金及附加'!$D$199)</f>
      </c>
      <c r="L134" s="34" cm="1">
        <f t="array" ref="L134:L134">_xlfn.XLOOKUP($B$134,'分表5-政府性基金及附加'!$B$2：'分表5-政府性基金及附加'!$B$199,'分表5-政府性基金及附加'!$D$2：'分表5-政府性基金及附加'!$D$199)</f>
      </c>
      <c r="M134" s="34" cm="1">
        <f t="array" ref="M134:M134">_xlfn.XLOOKUP($B$134,'分表5-政府性基金及附加'!$B$2：'分表5-政府性基金及附加'!$B$199,'分表5-政府性基金及附加'!$D$2：'分表5-政府性基金及附加'!$D$199)</f>
      </c>
      <c r="N134" s="34" cm="1">
        <f t="array" ref="N134:N134">_xlfn.XLOOKUP($B$134,'分表5-政府性基金及附加'!$B$2：'分表5-政府性基金及附加'!$B$199,'分表5-政府性基金及附加'!$D$2：'分表5-政府性基金及附加'!$D$199)</f>
      </c>
      <c r="O134" s="34" cm="1">
        <f t="array" ref="O134:O134">_xlfn.XLOOKUP($B$134,'分表5-政府性基金及附加'!$B$2：'分表5-政府性基金及附加'!$B$199,'分表5-政府性基金及附加'!$D$2：'分表5-政府性基金及附加'!$D$199)</f>
      </c>
      <c r="P134" s="34">
        <f>IF(SUM(D134:O134)=0,"0",AVERAGEIF(D134:O134,"&lt;&gt;0",D134:O134))</f>
      </c>
      <c r="Q134" s="38"/>
    </row>
    <row r="135">
      <c r="A135" s="34">
        <v>133</v>
      </c>
      <c r="B135" s="40" t="str">
        <v>辽宁</v>
      </c>
      <c r="C135" s="39" t="str">
        <v>系统运行费折价</v>
      </c>
      <c r="D135" s="34">
        <f>'分表8-2025三类细分价'!D344</f>
      </c>
      <c r="E135" s="34">
        <f>'分表8-2025三类细分价'!E344</f>
      </c>
      <c r="F135" s="34">
        <f>'分表8-2025三类细分价'!F344</f>
      </c>
      <c r="G135" s="34">
        <f>'分表8-2025三类细分价'!G344</f>
      </c>
      <c r="H135" s="34">
        <f>'分表8-2025三类细分价'!H344</f>
      </c>
      <c r="I135" s="34">
        <f>'分表8-2025三类细分价'!I344</f>
      </c>
      <c r="J135" s="34">
        <f>'分表8-2025三类细分价'!J344</f>
      </c>
      <c r="K135" s="34">
        <f>'分表8-2025三类细分价'!K344</f>
      </c>
      <c r="L135" s="34">
        <f>'分表8-2025三类细分价'!L344</f>
      </c>
      <c r="M135" s="34">
        <f>'分表8-2025三类细分价'!M344</f>
      </c>
      <c r="N135" s="34">
        <f>'分表8-2025三类细分价'!N344</f>
      </c>
      <c r="O135" s="34">
        <f>'分表8-2025三类细分价'!O344</f>
      </c>
      <c r="P135" s="34">
        <f>IF(SUM(D135:O135)=0,"0",AVERAGEIF(D135:O135,"&lt;&gt;0",D135:O135))</f>
      </c>
      <c r="Q135" s="38"/>
    </row>
    <row r="136">
      <c r="A136" s="34">
        <v>134</v>
      </c>
      <c r="B136" s="40" t="str">
        <v>辽宁</v>
      </c>
      <c r="C136" s="39" t="str">
        <v>综合平段电价--电网代购</v>
      </c>
      <c r="D136" s="34">
        <f>IF(D133="/","/",SUM(D131:D135))</f>
      </c>
      <c r="E136" s="34">
        <f>IF(E133="/","/",SUM(E131:E135))</f>
      </c>
      <c r="F136" s="34">
        <f>IF(F133="/","/",SUM(F131:F135))</f>
      </c>
      <c r="G136" s="34">
        <f>IF(G133="/","/",SUM(G131:G135))</f>
      </c>
      <c r="H136" s="34">
        <f>IF(H133="/","/",SUM(H131:H135))</f>
      </c>
      <c r="I136" s="34">
        <f>IF(I133="/","/",SUM(I131:I135))</f>
      </c>
      <c r="J136" s="34">
        <f>IF(J133="/","/",SUM(J131:J135))</f>
      </c>
      <c r="K136" s="34">
        <f>IF(K133="/","/",SUM(K131:K135))</f>
      </c>
      <c r="L136" s="34">
        <f>IF(L133="/","/",SUM(L131:L135))</f>
      </c>
      <c r="M136" s="34">
        <f>IF(M133="/","/",SUM(M131:M135))</f>
      </c>
      <c r="N136" s="34">
        <f>IF(N133="/","/",SUM(N131:N135))</f>
      </c>
      <c r="O136" s="34">
        <f>IF(O133="/","/",SUM(O131:O135))</f>
      </c>
      <c r="P136" s="34">
        <f>IF(SUM(D136:O136)=0,"0",AVERAGEIF(D136:O136,"&lt;&gt;0",D136:O136))</f>
      </c>
      <c r="Q136" s="38"/>
    </row>
    <row r="137">
      <c r="A137" s="34">
        <v>135</v>
      </c>
      <c r="B137" s="40" t="str">
        <v>辽宁</v>
      </c>
      <c r="C137" s="39" t="str">
        <v>入市交易购电价格</v>
      </c>
      <c r="D137" s="34">
        <f>'分表9-2025交易价格'!D18</f>
      </c>
      <c r="E137" s="34">
        <f>'分表9-2025交易价格'!E18</f>
      </c>
      <c r="F137" s="34">
        <f>'分表9-2025交易价格'!F18</f>
      </c>
      <c r="G137" s="34">
        <f>'分表9-2025交易价格'!G18</f>
      </c>
      <c r="H137" s="34">
        <f>'分表9-2025交易价格'!H18</f>
      </c>
      <c r="I137" s="34">
        <f>'分表9-2025交易价格'!I18</f>
      </c>
      <c r="J137" s="34">
        <f>'分表9-2025交易价格'!J18</f>
      </c>
      <c r="K137" s="34">
        <f>'分表9-2025交易价格'!K18</f>
      </c>
      <c r="L137" s="34">
        <f>'分表9-2025交易价格'!L18</f>
      </c>
      <c r="M137" s="34">
        <f>'分表9-2025交易价格'!M18</f>
      </c>
      <c r="N137" s="34">
        <f>'分表9-2025交易价格'!N18</f>
      </c>
      <c r="O137" s="34">
        <f>'分表9-2025交易价格'!O18</f>
      </c>
      <c r="P137" s="34">
        <f>IF(SUM(D137:O137)=0,"0",AVERAGEIF(D137:O137,"&lt;&gt;0",D137:O137))</f>
      </c>
      <c r="Q137" s="38"/>
    </row>
    <row r="138">
      <c r="A138" s="34">
        <v>136</v>
      </c>
      <c r="B138" s="40" t="str">
        <v>辽宁</v>
      </c>
      <c r="C138" s="39" t="str">
        <v>综合平段电价--入市交易</v>
      </c>
      <c r="D138" s="34">
        <f>IF(D133="/","/",IF(D137&gt;0,D137+SUM(D132:D135),"/"))</f>
      </c>
      <c r="E138" s="34">
        <f>IF(E133="/","/",IF(E137&gt;0,E137+SUM(E132:E135),"/"))</f>
      </c>
      <c r="F138" s="34">
        <f>IF(F133="/","/",IF(F137&gt;0,F137+SUM(F132:F135),"/"))</f>
      </c>
      <c r="G138" s="34">
        <f>IF(G133="/","/",IF(G137&gt;0,G137+SUM(G132:G135),"/"))</f>
      </c>
      <c r="H138" s="34">
        <f>IF(H133="/","/",IF(H137&gt;0,H137+SUM(H132:H135),"/"))</f>
      </c>
      <c r="I138" s="34">
        <f>IF(I133="/","/",IF(I137&gt;0,I137+SUM(I132:I135),"/"))</f>
      </c>
      <c r="J138" s="34">
        <f>IF(J133="/","/",IF(J137&gt;0,J137+SUM(J132:J135),"/"))</f>
      </c>
      <c r="K138" s="34">
        <f>IF(K133="/","/",IF(K137&gt;0,K137+SUM(K132:K135),"/"))</f>
      </c>
      <c r="L138" s="34">
        <f>IF(L133="/","/",IF(L137&gt;0,L137+SUM(L132:L135),"/"))</f>
      </c>
      <c r="M138" s="34">
        <f>IF(M133="/","/",IF(M137&gt;0,M137+SUM(M132:M135),"/"))</f>
      </c>
      <c r="N138" s="34">
        <f>IF(N133="/","/",IF(N137&gt;0,N137+SUM(N132:N135),"/"))</f>
      </c>
      <c r="O138" s="34">
        <f>IF(O133="/","/",IF(O137&gt;0,O137+SUM(O132:O135),"/"))</f>
      </c>
      <c r="P138" s="34">
        <f>IF(SUM(D138:O138)=0,"0",AVERAGEIF(D138:O138,"&lt;&gt;0",D138:O138))</f>
      </c>
      <c r="Q138" s="38"/>
    </row>
    <row r="139">
      <c r="A139" s="34">
        <v>137</v>
      </c>
      <c r="B139" s="31" t="str">
        <v>吉林</v>
      </c>
      <c r="C139" s="37" t="str">
        <v>代理购电价格</v>
      </c>
      <c r="D139" s="36">
        <f>'分表8-2025三类细分价'!D361</f>
      </c>
      <c r="E139" s="36">
        <f>'分表8-2025三类细分价'!E361</f>
      </c>
      <c r="F139" s="36">
        <f>'分表8-2025三类细分价'!F361</f>
      </c>
      <c r="G139" s="36">
        <f>'分表8-2025三类细分价'!G361</f>
      </c>
      <c r="H139" s="36">
        <f>'分表8-2025三类细分价'!H361</f>
      </c>
      <c r="I139" s="36">
        <f>'分表8-2025三类细分价'!I361</f>
      </c>
      <c r="J139" s="36">
        <f>'分表8-2025三类细分价'!J361</f>
      </c>
      <c r="K139" s="36">
        <f>'分表8-2025三类细分价'!K361</f>
      </c>
      <c r="L139" s="36">
        <f>'分表8-2025三类细分价'!L361</f>
      </c>
      <c r="M139" s="36">
        <f>'分表8-2025三类细分价'!M361</f>
      </c>
      <c r="N139" s="36">
        <f>'分表8-2025三类细分价'!N361</f>
      </c>
      <c r="O139" s="36">
        <f>'分表8-2025三类细分价'!O361</f>
      </c>
      <c r="P139" s="36">
        <f>IF(SUM(D139:O139)=0,"0",AVERAGEIF(D139:O139,"&lt;&gt;0",D139:O139))</f>
      </c>
      <c r="Q139" s="35"/>
    </row>
    <row r="140">
      <c r="A140" s="34">
        <v>138</v>
      </c>
      <c r="B140" s="31" t="str">
        <v>吉林</v>
      </c>
      <c r="C140" s="37" t="str">
        <v>上网环节线损电价</v>
      </c>
      <c r="D140" s="32">
        <f>'分表8-2025三类细分价'!D364</f>
      </c>
      <c r="E140" s="32">
        <f>'分表8-2025三类细分价'!E364</f>
      </c>
      <c r="F140" s="32">
        <f>'分表8-2025三类细分价'!F364</f>
      </c>
      <c r="G140" s="32">
        <f>'分表8-2025三类细分价'!G364</f>
      </c>
      <c r="H140" s="32">
        <f>'分表8-2025三类细分价'!H364</f>
      </c>
      <c r="I140" s="32">
        <f>'分表8-2025三类细分价'!I364</f>
      </c>
      <c r="J140" s="32">
        <f>'分表8-2025三类细分价'!J364</f>
      </c>
      <c r="K140" s="32">
        <f>'分表8-2025三类细分价'!K364</f>
      </c>
      <c r="L140" s="32">
        <f>'分表8-2025三类细分价'!L364</f>
      </c>
      <c r="M140" s="32">
        <f>'分表8-2025三类细分价'!M364</f>
      </c>
      <c r="N140" s="32">
        <f>'分表8-2025三类细分价'!N364</f>
      </c>
      <c r="O140" s="32">
        <f>'分表8-2025三类细分价'!O364</f>
      </c>
      <c r="P140" s="36">
        <f>IF(SUM(D140:O140)=0,"0",AVERAGEIF(D140:O140,"&lt;&gt;0",D140:O140))</f>
      </c>
      <c r="Q140" s="35"/>
    </row>
    <row r="141">
      <c r="A141" s="34">
        <v>139</v>
      </c>
      <c r="B141" s="31" t="str">
        <v>吉林</v>
      </c>
      <c r="C141" s="37" t="str">
        <v>电度输配电价</v>
      </c>
      <c r="D141" s="36" cm="1">
        <f t="array" ref="D141:D141">_xlfn.XLOOKUP($C$1,'分表4-电度输配电价'!$C138：'分表4-电度输配电价'!$C145&amp;'分表4-电度输配电价'!$D138：'分表4-电度输配电价'!$D145,'分表4-电度输配电价'!$E138：'分表4-电度输配电价'!$E145)</f>
      </c>
      <c r="E141" s="36" cm="1">
        <f t="array" ref="E141:E141">_xlfn.XLOOKUP($C$1,'分表4-电度输配电价'!$C138：'分表4-电度输配电价'!$C145&amp;'分表4-电度输配电价'!$D138：'分表4-电度输配电价'!$D145,'分表4-电度输配电价'!$E138：'分表4-电度输配电价'!$E145)</f>
      </c>
      <c r="F141" s="36" cm="1">
        <f t="array" ref="F141:F141">_xlfn.XLOOKUP($C$1,'分表4-电度输配电价'!$C138：'分表4-电度输配电价'!$C145&amp;'分表4-电度输配电价'!$D138：'分表4-电度输配电价'!$D145,'分表4-电度输配电价'!$E138：'分表4-电度输配电价'!$E145)</f>
      </c>
      <c r="G141" s="36" cm="1">
        <f t="array" ref="G141:G141">_xlfn.XLOOKUP($C$1,'分表4-电度输配电价'!$C138：'分表4-电度输配电价'!$C145&amp;'分表4-电度输配电价'!$D138：'分表4-电度输配电价'!$D145,'分表4-电度输配电价'!$E138：'分表4-电度输配电价'!$E145)</f>
      </c>
      <c r="H141" s="36" cm="1">
        <f t="array" ref="H141:H141">_xlfn.XLOOKUP($C$1,'分表4-电度输配电价'!$C138：'分表4-电度输配电价'!$C145&amp;'分表4-电度输配电价'!$D138：'分表4-电度输配电价'!$D145,'分表4-电度输配电价'!$E138：'分表4-电度输配电价'!$E145)</f>
      </c>
      <c r="I141" s="36" cm="1">
        <f t="array" ref="I141:I141">_xlfn.XLOOKUP($C$1,'分表4-电度输配电价'!$C138：'分表4-电度输配电价'!$C145&amp;'分表4-电度输配电价'!$D138：'分表4-电度输配电价'!$D145,'分表4-电度输配电价'!$E138：'分表4-电度输配电价'!$E145)</f>
      </c>
      <c r="J141" s="36" cm="1">
        <f t="array" ref="J141:J141">_xlfn.XLOOKUP($C$1,'分表4-电度输配电价'!$C138：'分表4-电度输配电价'!$C145&amp;'分表4-电度输配电价'!$D138：'分表4-电度输配电价'!$D145,'分表4-电度输配电价'!$E138：'分表4-电度输配电价'!$E145)</f>
      </c>
      <c r="K141" s="36" cm="1">
        <f t="array" ref="K141:K141">_xlfn.XLOOKUP($C$1,'分表4-电度输配电价'!$C138：'分表4-电度输配电价'!$C145&amp;'分表4-电度输配电价'!$D138：'分表4-电度输配电价'!$D145,'分表4-电度输配电价'!$E138：'分表4-电度输配电价'!$E145)</f>
      </c>
      <c r="L141" s="36" cm="1">
        <f t="array" ref="L141:L141">_xlfn.XLOOKUP($C$1,'分表4-电度输配电价'!$C138：'分表4-电度输配电价'!$C145&amp;'分表4-电度输配电价'!$D138：'分表4-电度输配电价'!$D145,'分表4-电度输配电价'!$E138：'分表4-电度输配电价'!$E145)</f>
      </c>
      <c r="M141" s="36" cm="1">
        <f t="array" ref="M141:M141">_xlfn.XLOOKUP($C$1,'分表4-电度输配电价'!$C138：'分表4-电度输配电价'!$C145&amp;'分表4-电度输配电价'!$D138：'分表4-电度输配电价'!$D145,'分表4-电度输配电价'!$E138：'分表4-电度输配电价'!$E145)</f>
      </c>
      <c r="N141" s="36" cm="1">
        <f t="array" ref="N141:N141">_xlfn.XLOOKUP($C$1,'分表4-电度输配电价'!$C138：'分表4-电度输配电价'!$C145&amp;'分表4-电度输配电价'!$D138：'分表4-电度输配电价'!$D145,'分表4-电度输配电价'!$E138：'分表4-电度输配电价'!$E145)</f>
      </c>
      <c r="O141" s="36" cm="1">
        <f t="array" ref="O141:O141">_xlfn.XLOOKUP($C$1,'分表4-电度输配电价'!$C138：'分表4-电度输配电价'!$C145&amp;'分表4-电度输配电价'!$D138：'分表4-电度输配电价'!$D145,'分表4-电度输配电价'!$E138：'分表4-电度输配电价'!$E145)</f>
      </c>
      <c r="P141" s="36">
        <f>IF(SUM(D141:O141)=0,"0",AVERAGEIF(D141:O141,"&lt;&gt;0",D141:O141))</f>
      </c>
      <c r="Q141" s="35"/>
    </row>
    <row r="142">
      <c r="A142" s="34">
        <v>140</v>
      </c>
      <c r="B142" s="31" t="str">
        <v>吉林</v>
      </c>
      <c r="C142" s="37" t="str">
        <v>政府性基金及附加</v>
      </c>
      <c r="D142" s="36" cm="1">
        <f t="array" ref="D142:D142">_xlfn.XLOOKUP($B$142,'分表5-政府性基金及附加'!$B$2：'分表5-政府性基金及附加'!$B$199,'分表5-政府性基金及附加'!$D$2：'分表5-政府性基金及附加'!$D$199)</f>
      </c>
      <c r="E142" s="36" cm="1">
        <f t="array" ref="E142:E142">_xlfn.XLOOKUP($B$142,'分表5-政府性基金及附加'!$B$2：'分表5-政府性基金及附加'!$B$199,'分表5-政府性基金及附加'!$D$2：'分表5-政府性基金及附加'!$D$199)</f>
      </c>
      <c r="F142" s="36" cm="1">
        <f t="array" ref="F142:F142">_xlfn.XLOOKUP($B$142,'分表5-政府性基金及附加'!$B$2：'分表5-政府性基金及附加'!$B$199,'分表5-政府性基金及附加'!$D$2：'分表5-政府性基金及附加'!$D$199)</f>
      </c>
      <c r="G142" s="36" cm="1">
        <f t="array" ref="G142:G142">_xlfn.XLOOKUP($B$142,'分表5-政府性基金及附加'!$B$2：'分表5-政府性基金及附加'!$B$199,'分表5-政府性基金及附加'!$D$2：'分表5-政府性基金及附加'!$D$199)</f>
      </c>
      <c r="H142" s="36" cm="1">
        <f t="array" ref="H142:H142">_xlfn.XLOOKUP($B$142,'分表5-政府性基金及附加'!$B$2：'分表5-政府性基金及附加'!$B$199,'分表5-政府性基金及附加'!$D$2：'分表5-政府性基金及附加'!$D$199)</f>
      </c>
      <c r="I142" s="36" cm="1">
        <f t="array" ref="I142:I142">_xlfn.XLOOKUP($B$142,'分表5-政府性基金及附加'!$B$2：'分表5-政府性基金及附加'!$B$199,'分表5-政府性基金及附加'!$D$2：'分表5-政府性基金及附加'!$D$199)</f>
      </c>
      <c r="J142" s="36" cm="1">
        <f t="array" ref="J142:J142">_xlfn.XLOOKUP($B$142,'分表5-政府性基金及附加'!$B$2：'分表5-政府性基金及附加'!$B$199,'分表5-政府性基金及附加'!$D$2：'分表5-政府性基金及附加'!$D$199)</f>
      </c>
      <c r="K142" s="36" cm="1">
        <f t="array" ref="K142:K142">_xlfn.XLOOKUP($B$142,'分表5-政府性基金及附加'!$B$2：'分表5-政府性基金及附加'!$B$199,'分表5-政府性基金及附加'!$D$2：'分表5-政府性基金及附加'!$D$199)</f>
      </c>
      <c r="L142" s="36" cm="1">
        <f t="array" ref="L142:L142">_xlfn.XLOOKUP($B$142,'分表5-政府性基金及附加'!$B$2：'分表5-政府性基金及附加'!$B$199,'分表5-政府性基金及附加'!$D$2：'分表5-政府性基金及附加'!$D$199)</f>
      </c>
      <c r="M142" s="36" cm="1">
        <f t="array" ref="M142:M142">_xlfn.XLOOKUP($B$142,'分表5-政府性基金及附加'!$B$2：'分表5-政府性基金及附加'!$B$199,'分表5-政府性基金及附加'!$D$2：'分表5-政府性基金及附加'!$D$199)</f>
      </c>
      <c r="N142" s="36" cm="1">
        <f t="array" ref="N142:N142">_xlfn.XLOOKUP($B$142,'分表5-政府性基金及附加'!$B$2：'分表5-政府性基金及附加'!$B$199,'分表5-政府性基金及附加'!$D$2：'分表5-政府性基金及附加'!$D$199)</f>
      </c>
      <c r="O142" s="36" cm="1">
        <f t="array" ref="O142:O142">_xlfn.XLOOKUP($B$142,'分表5-政府性基金及附加'!$B$2：'分表5-政府性基金及附加'!$B$199,'分表5-政府性基金及附加'!$D$2：'分表5-政府性基金及附加'!$D$199)</f>
      </c>
      <c r="P142" s="36">
        <f>IF(SUM(D142:O142)=0,"0",AVERAGEIF(D142:O142,"&lt;&gt;0",D142:O142))</f>
      </c>
      <c r="Q142" s="35"/>
    </row>
    <row r="143">
      <c r="A143" s="34">
        <v>141</v>
      </c>
      <c r="B143" s="31" t="str">
        <v>吉林</v>
      </c>
      <c r="C143" s="37" t="str">
        <v>系统运行费折价</v>
      </c>
      <c r="D143" s="32">
        <f>'分表8-2025三类细分价'!D365</f>
      </c>
      <c r="E143" s="32">
        <f>'分表8-2025三类细分价'!E365</f>
      </c>
      <c r="F143" s="32">
        <f>'分表8-2025三类细分价'!F365</f>
      </c>
      <c r="G143" s="32">
        <f>'分表8-2025三类细分价'!G365</f>
      </c>
      <c r="H143" s="32">
        <f>'分表8-2025三类细分价'!H365</f>
      </c>
      <c r="I143" s="32">
        <f>'分表8-2025三类细分价'!I365</f>
      </c>
      <c r="J143" s="32">
        <f>'分表8-2025三类细分价'!J365</f>
      </c>
      <c r="K143" s="32">
        <f>'分表8-2025三类细分价'!K365</f>
      </c>
      <c r="L143" s="32">
        <f>'分表8-2025三类细分价'!L365</f>
      </c>
      <c r="M143" s="32">
        <f>'分表8-2025三类细分价'!M365</f>
      </c>
      <c r="N143" s="32">
        <f>'分表8-2025三类细分价'!N365</f>
      </c>
      <c r="O143" s="32">
        <f>'分表8-2025三类细分价'!O365</f>
      </c>
      <c r="P143" s="36">
        <f>IF(SUM(D143:O143)=0,"0",AVERAGEIF(D143:O143,"&lt;&gt;0",D143:O143))</f>
      </c>
      <c r="Q143" s="35"/>
    </row>
    <row r="144">
      <c r="A144" s="34">
        <v>142</v>
      </c>
      <c r="B144" s="31" t="str">
        <v>吉林</v>
      </c>
      <c r="C144" s="37" t="str">
        <v>综合平段电价--电网代购</v>
      </c>
      <c r="D144" s="36">
        <f>IF(D141="/","/",SUM(D139:D143))</f>
      </c>
      <c r="E144" s="36">
        <f>IF(E141="/","/",SUM(E139:E143))</f>
      </c>
      <c r="F144" s="36">
        <f>IF(F141="/","/",SUM(F139:F143))</f>
      </c>
      <c r="G144" s="36">
        <f>IF(G141="/","/",SUM(G139:G143))</f>
      </c>
      <c r="H144" s="36">
        <f>IF(H141="/","/",SUM(H139:H143))</f>
      </c>
      <c r="I144" s="36">
        <f>IF(I141="/","/",SUM(I139:I143))</f>
      </c>
      <c r="J144" s="36">
        <f>IF(J141="/","/",SUM(J139:J143))</f>
      </c>
      <c r="K144" s="36">
        <f>IF(K141="/","/",SUM(K139:K143))</f>
      </c>
      <c r="L144" s="36">
        <f>IF(L141="/","/",SUM(L139:L143))</f>
      </c>
      <c r="M144" s="36">
        <f>IF(M141="/","/",SUM(M139:M143))</f>
      </c>
      <c r="N144" s="36">
        <f>IF(N141="/","/",SUM(N139:N143))</f>
      </c>
      <c r="O144" s="36">
        <f>IF(O141="/","/",SUM(O139:O143))</f>
      </c>
      <c r="P144" s="36">
        <f>IF(SUM(D144:O144)=0,"0",AVERAGEIF(D144:O144,"&lt;&gt;0",D144:O144))</f>
      </c>
      <c r="Q144" s="35"/>
    </row>
    <row r="145">
      <c r="A145" s="34">
        <v>143</v>
      </c>
      <c r="B145" s="31" t="str">
        <v>吉林</v>
      </c>
      <c r="C145" s="37" t="str">
        <v>入市交易购电价格</v>
      </c>
      <c r="D145" s="32">
        <f>'分表9-2025交易价格'!D19</f>
      </c>
      <c r="E145" s="32">
        <f>'分表9-2025交易价格'!E19</f>
      </c>
      <c r="F145" s="32">
        <f>'分表9-2025交易价格'!F19</f>
      </c>
      <c r="G145" s="32">
        <f>'分表9-2025交易价格'!G19</f>
      </c>
      <c r="H145" s="32">
        <f>'分表9-2025交易价格'!H19</f>
      </c>
      <c r="I145" s="32">
        <f>'分表9-2025交易价格'!I19</f>
      </c>
      <c r="J145" s="32">
        <f>'分表9-2025交易价格'!J19</f>
      </c>
      <c r="K145" s="32">
        <f>'分表9-2025交易价格'!K19</f>
      </c>
      <c r="L145" s="32">
        <f>'分表9-2025交易价格'!L19</f>
      </c>
      <c r="M145" s="32">
        <f>'分表9-2025交易价格'!M19</f>
      </c>
      <c r="N145" s="32">
        <f>'分表9-2025交易价格'!N19</f>
      </c>
      <c r="O145" s="32">
        <f>'分表9-2025交易价格'!O19</f>
      </c>
      <c r="P145" s="36">
        <f>IF(SUM(D145:O145)=0,"0",AVERAGEIF(D145:O145,"&lt;&gt;0",D145:O145))</f>
      </c>
      <c r="Q145" s="35"/>
    </row>
    <row r="146">
      <c r="A146" s="34">
        <v>144</v>
      </c>
      <c r="B146" s="31" t="str">
        <v>吉林</v>
      </c>
      <c r="C146" s="37" t="str">
        <v>综合平段电价--入市交易</v>
      </c>
      <c r="D146" s="36">
        <f>IF(D141="/","/",IF(D145&gt;0,D145+SUM(D140:D143),"/"))</f>
      </c>
      <c r="E146" s="36">
        <f>IF(E141="/","/",IF(E145&gt;0,E145+SUM(E140:E143),"/"))</f>
      </c>
      <c r="F146" s="36">
        <f>IF(F141="/","/",IF(F145&gt;0,F145+SUM(F140:F143),"/"))</f>
      </c>
      <c r="G146" s="36">
        <f>IF(G141="/","/",IF(G145&gt;0,G145+SUM(G140:G143),"/"))</f>
      </c>
      <c r="H146" s="36">
        <f>IF(H141="/","/",IF(H145&gt;0,H145+SUM(H140:H143),"/"))</f>
      </c>
      <c r="I146" s="36">
        <f>IF(I141="/","/",IF(I145&gt;0,I145+SUM(I140:I143),"/"))</f>
      </c>
      <c r="J146" s="36">
        <f>IF(J141="/","/",IF(J145&gt;0,J145+SUM(J140:J143),"/"))</f>
      </c>
      <c r="K146" s="36">
        <f>IF(K141="/","/",IF(K145&gt;0,K145+SUM(K140:K143),"/"))</f>
      </c>
      <c r="L146" s="36">
        <f>IF(L141="/","/",IF(L145&gt;0,L145+SUM(L140:L143),"/"))</f>
      </c>
      <c r="M146" s="36">
        <f>IF(M141="/","/",IF(M145&gt;0,M145+SUM(M140:M143),"/"))</f>
      </c>
      <c r="N146" s="36">
        <f>IF(N141="/","/",IF(N145&gt;0,N145+SUM(N140:N143),"/"))</f>
      </c>
      <c r="O146" s="36">
        <f>IF(O141="/","/",IF(O145&gt;0,O145+SUM(O140:O143),"/"))</f>
      </c>
      <c r="P146" s="36">
        <f>IF(SUM(D146:O146)=0,"0",AVERAGEIF(D146:O146,"&lt;&gt;0",D146:O146))</f>
      </c>
      <c r="Q146" s="35"/>
    </row>
    <row r="147">
      <c r="A147" s="34">
        <v>145</v>
      </c>
      <c r="B147" s="40" t="str">
        <v>黑龙江</v>
      </c>
      <c r="C147" s="39" t="str">
        <v>代理购电价格</v>
      </c>
      <c r="D147" s="34">
        <f>'分表8-2025三类细分价'!D382</f>
      </c>
      <c r="E147" s="34">
        <f>'分表8-2025三类细分价'!E382</f>
      </c>
      <c r="F147" s="34">
        <f>'分表8-2025三类细分价'!F382</f>
      </c>
      <c r="G147" s="34">
        <f>'分表8-2025三类细分价'!G382</f>
      </c>
      <c r="H147" s="34">
        <f>'分表8-2025三类细分价'!H382</f>
      </c>
      <c r="I147" s="34">
        <f>'分表8-2025三类细分价'!I382</f>
      </c>
      <c r="J147" s="34">
        <f>'分表8-2025三类细分价'!J382</f>
      </c>
      <c r="K147" s="34">
        <f>'分表8-2025三类细分价'!K382</f>
      </c>
      <c r="L147" s="34">
        <f>'分表8-2025三类细分价'!L382</f>
      </c>
      <c r="M147" s="34">
        <f>'分表8-2025三类细分价'!M382</f>
      </c>
      <c r="N147" s="34">
        <f>'分表8-2025三类细分价'!N382</f>
      </c>
      <c r="O147" s="34">
        <f>'分表8-2025三类细分价'!O382</f>
      </c>
      <c r="P147" s="34">
        <f>IF(SUM(D147:O147)=0,"0",AVERAGEIF(D147:O147,"&lt;&gt;0",D147:O147))</f>
      </c>
      <c r="Q147" s="38"/>
    </row>
    <row r="148">
      <c r="A148" s="34">
        <v>146</v>
      </c>
      <c r="B148" s="40" t="str">
        <v>黑龙江</v>
      </c>
      <c r="C148" s="39" t="str">
        <v>上网环节线损电价</v>
      </c>
      <c r="D148" s="34">
        <f>'分表8-2025三类细分价'!D385</f>
      </c>
      <c r="E148" s="34">
        <f>'分表8-2025三类细分价'!E385</f>
      </c>
      <c r="F148" s="34">
        <f>'分表8-2025三类细分价'!F385</f>
      </c>
      <c r="G148" s="34">
        <f>'分表8-2025三类细分价'!G385</f>
      </c>
      <c r="H148" s="34">
        <f>'分表8-2025三类细分价'!H385</f>
      </c>
      <c r="I148" s="34">
        <f>'分表8-2025三类细分价'!I385</f>
      </c>
      <c r="J148" s="34">
        <f>'分表8-2025三类细分价'!J385</f>
      </c>
      <c r="K148" s="34">
        <f>'分表8-2025三类细分价'!K385</f>
      </c>
      <c r="L148" s="34">
        <f>'分表8-2025三类细分价'!L385</f>
      </c>
      <c r="M148" s="34">
        <f>'分表8-2025三类细分价'!M385</f>
      </c>
      <c r="N148" s="34">
        <f>'分表8-2025三类细分价'!N385</f>
      </c>
      <c r="O148" s="34">
        <f>'分表8-2025三类细分价'!O385</f>
      </c>
      <c r="P148" s="34">
        <f>IF(SUM(D148:O148)=0,"0",AVERAGEIF(D148:O148,"&lt;&gt;0",D148:O148))</f>
      </c>
      <c r="Q148" s="38"/>
    </row>
    <row r="149">
      <c r="A149" s="34">
        <v>147</v>
      </c>
      <c r="B149" s="40" t="str">
        <v>黑龙江</v>
      </c>
      <c r="C149" s="39" t="str">
        <v>电度输配电价</v>
      </c>
      <c r="D149" s="34" cm="1">
        <f t="array" ref="D149:D149">_xlfn.XLOOKUP($C$1,'分表4-电度输配电价'!$C146：'分表4-电度输配电价'!$C153&amp;'分表4-电度输配电价'!$D146：'分表4-电度输配电价'!$D153,'分表4-电度输配电价'!$E146：'分表4-电度输配电价'!$E153)</f>
      </c>
      <c r="E149" s="34" cm="1">
        <f t="array" ref="E149:E149">_xlfn.XLOOKUP($C$1,'分表4-电度输配电价'!$C146：'分表4-电度输配电价'!$C153&amp;'分表4-电度输配电价'!$D146：'分表4-电度输配电价'!$D153,'分表4-电度输配电价'!$E146：'分表4-电度输配电价'!$E153)</f>
      </c>
      <c r="F149" s="34" cm="1">
        <f t="array" ref="F149:F149">_xlfn.XLOOKUP($C$1,'分表4-电度输配电价'!$C146：'分表4-电度输配电价'!$C153&amp;'分表4-电度输配电价'!$D146：'分表4-电度输配电价'!$D153,'分表4-电度输配电价'!$E146：'分表4-电度输配电价'!$E153)</f>
      </c>
      <c r="G149" s="34" cm="1">
        <f t="array" ref="G149:G149">_xlfn.XLOOKUP($C$1,'分表4-电度输配电价'!$C146：'分表4-电度输配电价'!$C153&amp;'分表4-电度输配电价'!$D146：'分表4-电度输配电价'!$D153,'分表4-电度输配电价'!$E146：'分表4-电度输配电价'!$E153)</f>
      </c>
      <c r="H149" s="34" cm="1">
        <f t="array" ref="H149:H149">_xlfn.XLOOKUP($C$1,'分表4-电度输配电价'!$C146：'分表4-电度输配电价'!$C153&amp;'分表4-电度输配电价'!$D146：'分表4-电度输配电价'!$D153,'分表4-电度输配电价'!$E146：'分表4-电度输配电价'!$E153)</f>
      </c>
      <c r="I149" s="34" cm="1">
        <f t="array" ref="I149:I149">_xlfn.XLOOKUP($C$1,'分表4-电度输配电价'!$C146：'分表4-电度输配电价'!$C153&amp;'分表4-电度输配电价'!$D146：'分表4-电度输配电价'!$D153,'分表4-电度输配电价'!$E146：'分表4-电度输配电价'!$E153)</f>
      </c>
      <c r="J149" s="34" cm="1">
        <f t="array" ref="J149:J149">_xlfn.XLOOKUP($C$1,'分表4-电度输配电价'!$C146：'分表4-电度输配电价'!$C153&amp;'分表4-电度输配电价'!$D146：'分表4-电度输配电价'!$D153,'分表4-电度输配电价'!$E146：'分表4-电度输配电价'!$E153)</f>
      </c>
      <c r="K149" s="34" cm="1">
        <f t="array" ref="K149:K149">_xlfn.XLOOKUP($C$1,'分表4-电度输配电价'!$C146：'分表4-电度输配电价'!$C153&amp;'分表4-电度输配电价'!$D146：'分表4-电度输配电价'!$D153,'分表4-电度输配电价'!$E146：'分表4-电度输配电价'!$E153)</f>
      </c>
      <c r="L149" s="34" cm="1">
        <f t="array" ref="L149:L149">_xlfn.XLOOKUP($C$1,'分表4-电度输配电价'!$C146：'分表4-电度输配电价'!$C153&amp;'分表4-电度输配电价'!$D146：'分表4-电度输配电价'!$D153,'分表4-电度输配电价'!$E146：'分表4-电度输配电价'!$E153)</f>
      </c>
      <c r="M149" s="34" cm="1">
        <f t="array" ref="M149:M149">_xlfn.XLOOKUP($C$1,'分表4-电度输配电价'!$C146：'分表4-电度输配电价'!$C153&amp;'分表4-电度输配电价'!$D146：'分表4-电度输配电价'!$D153,'分表4-电度输配电价'!$E146：'分表4-电度输配电价'!$E153)</f>
      </c>
      <c r="N149" s="34" cm="1">
        <f t="array" ref="N149:N149">_xlfn.XLOOKUP($C$1,'分表4-电度输配电价'!$C146：'分表4-电度输配电价'!$C153&amp;'分表4-电度输配电价'!$D146：'分表4-电度输配电价'!$D153,'分表4-电度输配电价'!$E146：'分表4-电度输配电价'!$E153)</f>
      </c>
      <c r="O149" s="34" cm="1">
        <f t="array" ref="O149:O149">_xlfn.XLOOKUP($C$1,'分表4-电度输配电价'!$C146：'分表4-电度输配电价'!$C153&amp;'分表4-电度输配电价'!$D146：'分表4-电度输配电价'!$D153,'分表4-电度输配电价'!$E146：'分表4-电度输配电价'!$E153)</f>
      </c>
      <c r="P149" s="34">
        <f>IF(SUM(D149:O149)=0,"0",AVERAGEIF(D149:O149,"&lt;&gt;0",D149:O149))</f>
      </c>
      <c r="Q149" s="38"/>
    </row>
    <row r="150">
      <c r="A150" s="34">
        <v>148</v>
      </c>
      <c r="B150" s="40" t="str">
        <v>黑龙江</v>
      </c>
      <c r="C150" s="39" t="str">
        <v>政府性基金及附加</v>
      </c>
      <c r="D150" s="34" cm="1">
        <f t="array" ref="D150:D150">_xlfn.XLOOKUP($B$150,'分表5-政府性基金及附加'!$B$2：'分表5-政府性基金及附加'!$B$199,'分表5-政府性基金及附加'!$D$2：'分表5-政府性基金及附加'!$D$199)</f>
      </c>
      <c r="E150" s="34" cm="1">
        <f t="array" ref="E150:E150">_xlfn.XLOOKUP($B$150,'分表5-政府性基金及附加'!$B$2：'分表5-政府性基金及附加'!$B$199,'分表5-政府性基金及附加'!$D$2：'分表5-政府性基金及附加'!$D$199)</f>
      </c>
      <c r="F150" s="34" cm="1">
        <f t="array" ref="F150:F150">_xlfn.XLOOKUP($B$150,'分表5-政府性基金及附加'!$B$2：'分表5-政府性基金及附加'!$B$199,'分表5-政府性基金及附加'!$D$2：'分表5-政府性基金及附加'!$D$199)</f>
      </c>
      <c r="G150" s="34" cm="1">
        <f t="array" ref="G150:G150">_xlfn.XLOOKUP($B$150,'分表5-政府性基金及附加'!$B$2：'分表5-政府性基金及附加'!$B$199,'分表5-政府性基金及附加'!$D$2：'分表5-政府性基金及附加'!$D$199)</f>
      </c>
      <c r="H150" s="34" cm="1">
        <f t="array" ref="H150:H150">_xlfn.XLOOKUP($B$150,'分表5-政府性基金及附加'!$B$2：'分表5-政府性基金及附加'!$B$199,'分表5-政府性基金及附加'!$D$2：'分表5-政府性基金及附加'!$D$199)</f>
      </c>
      <c r="I150" s="34" cm="1">
        <f t="array" ref="I150:I150">_xlfn.XLOOKUP($B$150,'分表5-政府性基金及附加'!$B$2：'分表5-政府性基金及附加'!$B$199,'分表5-政府性基金及附加'!$D$2：'分表5-政府性基金及附加'!$D$199)</f>
      </c>
      <c r="J150" s="34" cm="1">
        <f t="array" ref="J150:J150">_xlfn.XLOOKUP($B$150,'分表5-政府性基金及附加'!$B$2：'分表5-政府性基金及附加'!$B$199,'分表5-政府性基金及附加'!$D$2：'分表5-政府性基金及附加'!$D$199)</f>
      </c>
      <c r="K150" s="34" cm="1">
        <f t="array" ref="K150:K150">_xlfn.XLOOKUP($B$150,'分表5-政府性基金及附加'!$B$2：'分表5-政府性基金及附加'!$B$199,'分表5-政府性基金及附加'!$D$2：'分表5-政府性基金及附加'!$D$199)</f>
      </c>
      <c r="L150" s="34" cm="1">
        <f t="array" ref="L150:L150">_xlfn.XLOOKUP($B$150,'分表5-政府性基金及附加'!$B$2：'分表5-政府性基金及附加'!$B$199,'分表5-政府性基金及附加'!$D$2：'分表5-政府性基金及附加'!$D$199)</f>
      </c>
      <c r="M150" s="34" cm="1">
        <f t="array" ref="M150:M150">_xlfn.XLOOKUP($B$150,'分表5-政府性基金及附加'!$B$2：'分表5-政府性基金及附加'!$B$199,'分表5-政府性基金及附加'!$D$2：'分表5-政府性基金及附加'!$D$199)</f>
      </c>
      <c r="N150" s="34" cm="1">
        <f t="array" ref="N150:N150">_xlfn.XLOOKUP($B$150,'分表5-政府性基金及附加'!$B$2：'分表5-政府性基金及附加'!$B$199,'分表5-政府性基金及附加'!$D$2：'分表5-政府性基金及附加'!$D$199)</f>
      </c>
      <c r="O150" s="34" cm="1">
        <f t="array" ref="O150:O150">_xlfn.XLOOKUP($B$150,'分表5-政府性基金及附加'!$B$2：'分表5-政府性基金及附加'!$B$199,'分表5-政府性基金及附加'!$D$2：'分表5-政府性基金及附加'!$D$199)</f>
      </c>
      <c r="P150" s="34">
        <f>IF(SUM(D150:O150)=0,"0",AVERAGEIF(D150:O150,"&lt;&gt;0",D150:O150))</f>
      </c>
      <c r="Q150" s="38"/>
    </row>
    <row r="151">
      <c r="A151" s="34">
        <v>149</v>
      </c>
      <c r="B151" s="40" t="str">
        <v>黑龙江</v>
      </c>
      <c r="C151" s="39" t="str">
        <v>系统运行费折价</v>
      </c>
      <c r="D151" s="34">
        <f>'分表8-2025三类细分价'!D386</f>
      </c>
      <c r="E151" s="34">
        <f>'分表8-2025三类细分价'!E386</f>
      </c>
      <c r="F151" s="34">
        <f>'分表8-2025三类细分价'!F386</f>
      </c>
      <c r="G151" s="34">
        <f>'分表8-2025三类细分价'!G386</f>
      </c>
      <c r="H151" s="34">
        <f>'分表8-2025三类细分价'!H386</f>
      </c>
      <c r="I151" s="34">
        <f>'分表8-2025三类细分价'!I386</f>
      </c>
      <c r="J151" s="34">
        <f>'分表8-2025三类细分价'!J386</f>
      </c>
      <c r="K151" s="34">
        <f>'分表8-2025三类细分价'!K386</f>
      </c>
      <c r="L151" s="34">
        <f>'分表8-2025三类细分价'!L386</f>
      </c>
      <c r="M151" s="34">
        <f>'分表8-2025三类细分价'!M386</f>
      </c>
      <c r="N151" s="34">
        <f>'分表8-2025三类细分价'!N386</f>
      </c>
      <c r="O151" s="34">
        <f>'分表8-2025三类细分价'!O386</f>
      </c>
      <c r="P151" s="34">
        <f>IF(SUM(D151:O151)=0,"0",AVERAGEIF(D151:O151,"&lt;&gt;0",D151:O151))</f>
      </c>
      <c r="Q151" s="38"/>
    </row>
    <row r="152">
      <c r="A152" s="34">
        <v>150</v>
      </c>
      <c r="B152" s="40" t="str">
        <v>黑龙江</v>
      </c>
      <c r="C152" s="39" t="str">
        <v>综合平段电价--电网代购</v>
      </c>
      <c r="D152" s="34">
        <f>IF(D149="/","/",SUM(D147:D151))</f>
      </c>
      <c r="E152" s="34">
        <f>IF(E149="/","/",SUM(E147:E151))</f>
      </c>
      <c r="F152" s="34">
        <f>IF(F149="/","/",SUM(F147:F151))</f>
      </c>
      <c r="G152" s="34">
        <f>IF(G149="/","/",SUM(G147:G151))</f>
      </c>
      <c r="H152" s="34">
        <f>IF(H149="/","/",SUM(H147:H151))</f>
      </c>
      <c r="I152" s="34">
        <f>IF(I149="/","/",SUM(I147:I151))</f>
      </c>
      <c r="J152" s="34">
        <f>IF(J149="/","/",SUM(J147:J151))</f>
      </c>
      <c r="K152" s="34">
        <f>IF(K149="/","/",SUM(K147:K151))</f>
      </c>
      <c r="L152" s="34">
        <f>IF(L149="/","/",SUM(L147:L151))</f>
      </c>
      <c r="M152" s="34">
        <f>IF(M149="/","/",SUM(M147:M151))</f>
      </c>
      <c r="N152" s="34">
        <f>IF(N149="/","/",SUM(N147:N151))</f>
      </c>
      <c r="O152" s="34">
        <f>IF(O149="/","/",SUM(O147:O151))</f>
      </c>
      <c r="P152" s="34">
        <f>IF(SUM(D152:O152)=0,"0",AVERAGEIF(D152:O152,"&lt;&gt;0",D152:O152))</f>
      </c>
      <c r="Q152" s="38"/>
    </row>
    <row r="153">
      <c r="A153" s="34">
        <v>151</v>
      </c>
      <c r="B153" s="40" t="str">
        <v>黑龙江</v>
      </c>
      <c r="C153" s="39" t="str">
        <v>入市交易购电价格</v>
      </c>
      <c r="D153" s="34">
        <f>'分表9-2025交易价格'!D20</f>
      </c>
      <c r="E153" s="34">
        <f>'分表9-2025交易价格'!E20</f>
      </c>
      <c r="F153" s="34">
        <f>'分表9-2025交易价格'!F20</f>
      </c>
      <c r="G153" s="34">
        <f>'分表9-2025交易价格'!G20</f>
      </c>
      <c r="H153" s="34">
        <f>'分表9-2025交易价格'!H20</f>
      </c>
      <c r="I153" s="34">
        <f>'分表9-2025交易价格'!I20</f>
      </c>
      <c r="J153" s="34">
        <f>'分表9-2025交易价格'!J20</f>
      </c>
      <c r="K153" s="34">
        <f>'分表9-2025交易价格'!K20</f>
      </c>
      <c r="L153" s="34">
        <f>'分表9-2025交易价格'!L20</f>
      </c>
      <c r="M153" s="34">
        <f>'分表9-2025交易价格'!M20</f>
      </c>
      <c r="N153" s="34">
        <f>'分表9-2025交易价格'!N20</f>
      </c>
      <c r="O153" s="34">
        <f>'分表9-2025交易价格'!O20</f>
      </c>
      <c r="P153" s="34">
        <f>IF(SUM(D153:O153)=0,"0",AVERAGEIF(D153:O153,"&lt;&gt;0",D153:O153))</f>
      </c>
      <c r="Q153" s="38"/>
    </row>
    <row r="154">
      <c r="A154" s="34">
        <v>152</v>
      </c>
      <c r="B154" s="40" t="str">
        <v>黑龙江</v>
      </c>
      <c r="C154" s="39" t="str">
        <v>综合平段电价--入市交易</v>
      </c>
      <c r="D154" s="34">
        <f>IF(D149="/","/",IF(D153&gt;0,D153+SUM(D148:D151),"/"))</f>
      </c>
      <c r="E154" s="34">
        <f>IF(E149="/","/",IF(E153&gt;0,E153+SUM(E148:E151),"/"))</f>
      </c>
      <c r="F154" s="34">
        <f>IF(F149="/","/",IF(F153&gt;0,F153+SUM(F148:F151),"/"))</f>
      </c>
      <c r="G154" s="34">
        <f>IF(G149="/","/",IF(G153&gt;0,G153+SUM(G148:G151),"/"))</f>
      </c>
      <c r="H154" s="34">
        <f>IF(H149="/","/",IF(H153&gt;0,H153+SUM(H148:H151),"/"))</f>
      </c>
      <c r="I154" s="34">
        <f>IF(I149="/","/",IF(I153&gt;0,I153+SUM(I148:I151),"/"))</f>
      </c>
      <c r="J154" s="34">
        <f>IF(J149="/","/",IF(J153&gt;0,J153+SUM(J148:J151),"/"))</f>
      </c>
      <c r="K154" s="34">
        <f>IF(K149="/","/",IF(K153&gt;0,K153+SUM(K148:K151),"/"))</f>
      </c>
      <c r="L154" s="34">
        <f>IF(L149="/","/",IF(L153&gt;0,L153+SUM(L148:L151),"/"))</f>
      </c>
      <c r="M154" s="34">
        <f>IF(M149="/","/",IF(M153&gt;0,M153+SUM(M148:M151),"/"))</f>
      </c>
      <c r="N154" s="34">
        <f>IF(N149="/","/",IF(N153&gt;0,N153+SUM(N148:N151),"/"))</f>
      </c>
      <c r="O154" s="34">
        <f>IF(O149="/","/",IF(O153&gt;0,O153+SUM(O148:O151),"/"))</f>
      </c>
      <c r="P154" s="34">
        <f>IF(SUM(D154:O154)=0,"0",AVERAGEIF(D154:O154,"&lt;&gt;0",D154:O154))</f>
      </c>
      <c r="Q154" s="38"/>
    </row>
    <row customHeight="true" ht="19" r="155">
      <c r="A155" s="34">
        <v>153</v>
      </c>
      <c r="B155" s="31" t="str">
        <v>蒙东</v>
      </c>
      <c r="C155" s="37" t="str">
        <v>代理购电价格</v>
      </c>
      <c r="D155" s="36">
        <f>'分表8-2025三类细分价'!D403</f>
      </c>
      <c r="E155" s="36">
        <f>'分表8-2025三类细分价'!E403</f>
      </c>
      <c r="F155" s="36">
        <f>'分表8-2025三类细分价'!F403</f>
      </c>
      <c r="G155" s="36">
        <f>'分表8-2025三类细分价'!G403</f>
      </c>
      <c r="H155" s="36">
        <f>'分表8-2025三类细分价'!H403</f>
      </c>
      <c r="I155" s="36">
        <f>'分表8-2025三类细分价'!I403</f>
      </c>
      <c r="J155" s="36">
        <f>'分表8-2025三类细分价'!J403</f>
      </c>
      <c r="K155" s="36">
        <f>'分表8-2025三类细分价'!K403</f>
      </c>
      <c r="L155" s="36">
        <f>'分表8-2025三类细分价'!L403</f>
      </c>
      <c r="M155" s="36">
        <f>'分表8-2025三类细分价'!M403</f>
      </c>
      <c r="N155" s="36">
        <f>'分表8-2025三类细分价'!N403</f>
      </c>
      <c r="O155" s="36">
        <f>'分表8-2025三类细分价'!O403</f>
      </c>
      <c r="P155" s="36">
        <f>IF(SUM(D155:O155)=0,"0",AVERAGEIF(D155:O155,"&lt;&gt;0",D155:O155))</f>
      </c>
      <c r="Q155" s="35"/>
    </row>
    <row r="156">
      <c r="A156" s="34">
        <v>154</v>
      </c>
      <c r="B156" s="31" t="str">
        <v>蒙东</v>
      </c>
      <c r="C156" s="37" t="str">
        <v>上网环节线损电价</v>
      </c>
      <c r="D156" s="32">
        <f>'分表8-2025三类细分价'!D406</f>
      </c>
      <c r="E156" s="32">
        <f>'分表8-2025三类细分价'!E406</f>
      </c>
      <c r="F156" s="32">
        <f>'分表8-2025三类细分价'!F406</f>
      </c>
      <c r="G156" s="32">
        <f>'分表8-2025三类细分价'!G406</f>
      </c>
      <c r="H156" s="32">
        <f>'分表8-2025三类细分价'!H406</f>
      </c>
      <c r="I156" s="32">
        <f>'分表8-2025三类细分价'!I406</f>
      </c>
      <c r="J156" s="32">
        <f>'分表8-2025三类细分价'!J406</f>
      </c>
      <c r="K156" s="32">
        <f>'分表8-2025三类细分价'!K406</f>
      </c>
      <c r="L156" s="32">
        <f>'分表8-2025三类细分价'!L406</f>
      </c>
      <c r="M156" s="32">
        <f>'分表8-2025三类细分价'!M406</f>
      </c>
      <c r="N156" s="32">
        <f>'分表8-2025三类细分价'!N406</f>
      </c>
      <c r="O156" s="32">
        <f>'分表8-2025三类细分价'!O406</f>
      </c>
      <c r="P156" s="36">
        <f>IF(SUM(D156:O156)=0,"0",AVERAGEIF(D156:O156,"&lt;&gt;0",D156:O156))</f>
      </c>
      <c r="Q156" s="35"/>
    </row>
    <row r="157">
      <c r="A157" s="34">
        <v>155</v>
      </c>
      <c r="B157" s="31" t="str">
        <v>蒙东</v>
      </c>
      <c r="C157" s="37" t="str">
        <v>电度输配电价</v>
      </c>
      <c r="D157" s="36" cm="1">
        <f t="array" ref="D157:D157">_xlfn.XLOOKUP($C$1,'分表4-电度输配电价'!$C154：'分表4-电度输配电价'!$C161&amp;'分表4-电度输配电价'!$D154：'分表4-电度输配电价'!$D161,'分表4-电度输配电价'!$E154：'分表4-电度输配电价'!$E161)</f>
      </c>
      <c r="E157" s="36" cm="1">
        <f t="array" ref="E157:E157">_xlfn.XLOOKUP($C$1,'分表4-电度输配电价'!$C154：'分表4-电度输配电价'!$C161&amp;'分表4-电度输配电价'!$D154：'分表4-电度输配电价'!$D161,'分表4-电度输配电价'!$E154：'分表4-电度输配电价'!$E161)</f>
      </c>
      <c r="F157" s="36" cm="1">
        <f t="array" ref="F157:F157">_xlfn.XLOOKUP($C$1,'分表4-电度输配电价'!$C154：'分表4-电度输配电价'!$C161&amp;'分表4-电度输配电价'!$D154：'分表4-电度输配电价'!$D161,'分表4-电度输配电价'!$E154：'分表4-电度输配电价'!$E161)</f>
      </c>
      <c r="G157" s="36" cm="1">
        <f t="array" ref="G157:G157">_xlfn.XLOOKUP($C$1,'分表4-电度输配电价'!$C154：'分表4-电度输配电价'!$C161&amp;'分表4-电度输配电价'!$D154：'分表4-电度输配电价'!$D161,'分表4-电度输配电价'!$E154：'分表4-电度输配电价'!$E161)</f>
      </c>
      <c r="H157" s="36" cm="1">
        <f t="array" ref="H157:H157">_xlfn.XLOOKUP($C$1,'分表4-电度输配电价'!$C154：'分表4-电度输配电价'!$C161&amp;'分表4-电度输配电价'!$D154：'分表4-电度输配电价'!$D161,'分表4-电度输配电价'!$E154：'分表4-电度输配电价'!$E161)</f>
      </c>
      <c r="I157" s="36" cm="1">
        <f t="array" ref="I157:I157">_xlfn.XLOOKUP($C$1,'分表4-电度输配电价'!$C154：'分表4-电度输配电价'!$C161&amp;'分表4-电度输配电价'!$D154：'分表4-电度输配电价'!$D161,'分表4-电度输配电价'!$E154：'分表4-电度输配电价'!$E161)</f>
      </c>
      <c r="J157" s="36" cm="1">
        <f t="array" ref="J157:J157">_xlfn.XLOOKUP($C$1,'分表4-电度输配电价'!$C154：'分表4-电度输配电价'!$C161&amp;'分表4-电度输配电价'!$D154：'分表4-电度输配电价'!$D161,'分表4-电度输配电价'!$E154：'分表4-电度输配电价'!$E161)</f>
      </c>
      <c r="K157" s="36" cm="1">
        <f t="array" ref="K157:K157">_xlfn.XLOOKUP($C$1,'分表4-电度输配电价'!$C154：'分表4-电度输配电价'!$C161&amp;'分表4-电度输配电价'!$D154：'分表4-电度输配电价'!$D161,'分表4-电度输配电价'!$E154：'分表4-电度输配电价'!$E161)</f>
      </c>
      <c r="L157" s="36" cm="1">
        <f t="array" ref="L157:L157">_xlfn.XLOOKUP($C$1,'分表4-电度输配电价'!$C154：'分表4-电度输配电价'!$C161&amp;'分表4-电度输配电价'!$D154：'分表4-电度输配电价'!$D161,'分表4-电度输配电价'!$E154：'分表4-电度输配电价'!$E161)</f>
      </c>
      <c r="M157" s="36" cm="1">
        <f t="array" ref="M157:M157">_xlfn.XLOOKUP($C$1,'分表4-电度输配电价'!$C154：'分表4-电度输配电价'!$C161&amp;'分表4-电度输配电价'!$D154：'分表4-电度输配电价'!$D161,'分表4-电度输配电价'!$E154：'分表4-电度输配电价'!$E161)</f>
      </c>
      <c r="N157" s="36" cm="1">
        <f t="array" ref="N157:N157">_xlfn.XLOOKUP($C$1,'分表4-电度输配电价'!$C154：'分表4-电度输配电价'!$C161&amp;'分表4-电度输配电价'!$D154：'分表4-电度输配电价'!$D161,'分表4-电度输配电价'!$E154：'分表4-电度输配电价'!$E161)</f>
      </c>
      <c r="O157" s="36" cm="1">
        <f t="array" ref="O157:O157">_xlfn.XLOOKUP($C$1,'分表4-电度输配电价'!$C154：'分表4-电度输配电价'!$C161&amp;'分表4-电度输配电价'!$D154：'分表4-电度输配电价'!$D161,'分表4-电度输配电价'!$E154：'分表4-电度输配电价'!$E161)</f>
      </c>
      <c r="P157" s="36">
        <f>IF(SUM(D157:O157)=0,"0",AVERAGEIF(D157:O157,"&lt;&gt;0",D157:O157))</f>
      </c>
      <c r="Q157" s="35"/>
    </row>
    <row r="158">
      <c r="A158" s="34">
        <v>156</v>
      </c>
      <c r="B158" s="31" t="str">
        <v>蒙东</v>
      </c>
      <c r="C158" s="37" t="str">
        <v>政府性基金及附加</v>
      </c>
      <c r="D158" s="36" cm="1">
        <f t="array" ref="D158:D158">_xlfn.XLOOKUP($B$158,'分表5-政府性基金及附加'!$B$2：'分表5-政府性基金及附加'!$B$199,'分表5-政府性基金及附加'!$D$2：'分表5-政府性基金及附加'!$D$199)</f>
      </c>
      <c r="E158" s="36" cm="1">
        <f t="array" ref="E158:E158">_xlfn.XLOOKUP($B$158,'分表5-政府性基金及附加'!$B$2：'分表5-政府性基金及附加'!$B$199,'分表5-政府性基金及附加'!$D$2：'分表5-政府性基金及附加'!$D$199)</f>
      </c>
      <c r="F158" s="36" cm="1">
        <f t="array" ref="F158:F158">_xlfn.XLOOKUP($B$158,'分表5-政府性基金及附加'!$B$2：'分表5-政府性基金及附加'!$B$199,'分表5-政府性基金及附加'!$D$2：'分表5-政府性基金及附加'!$D$199)</f>
      </c>
      <c r="G158" s="36" cm="1">
        <f t="array" ref="G158:G158">_xlfn.XLOOKUP($B$158,'分表5-政府性基金及附加'!$B$2：'分表5-政府性基金及附加'!$B$199,'分表5-政府性基金及附加'!$D$2：'分表5-政府性基金及附加'!$D$199)</f>
      </c>
      <c r="H158" s="36" cm="1">
        <f t="array" ref="H158:H158">_xlfn.XLOOKUP($B$158,'分表5-政府性基金及附加'!$B$2：'分表5-政府性基金及附加'!$B$199,'分表5-政府性基金及附加'!$D$2：'分表5-政府性基金及附加'!$D$199)</f>
      </c>
      <c r="I158" s="36" cm="1">
        <f t="array" ref="I158:I158">_xlfn.XLOOKUP($B$158,'分表5-政府性基金及附加'!$B$2：'分表5-政府性基金及附加'!$B$199,'分表5-政府性基金及附加'!$D$2：'分表5-政府性基金及附加'!$D$199)</f>
      </c>
      <c r="J158" s="36" cm="1">
        <f t="array" ref="J158:J158">_xlfn.XLOOKUP($B$158,'分表5-政府性基金及附加'!$B$2：'分表5-政府性基金及附加'!$B$199,'分表5-政府性基金及附加'!$D$2：'分表5-政府性基金及附加'!$D$199)</f>
      </c>
      <c r="K158" s="36" cm="1">
        <f t="array" ref="K158:K158">_xlfn.XLOOKUP($B$158,'分表5-政府性基金及附加'!$B$2：'分表5-政府性基金及附加'!$B$199,'分表5-政府性基金及附加'!$D$2：'分表5-政府性基金及附加'!$D$199)</f>
      </c>
      <c r="L158" s="36" cm="1">
        <f t="array" ref="L158:L158">_xlfn.XLOOKUP($B$158,'分表5-政府性基金及附加'!$B$2：'分表5-政府性基金及附加'!$B$199,'分表5-政府性基金及附加'!$D$2：'分表5-政府性基金及附加'!$D$199)</f>
      </c>
      <c r="M158" s="36" cm="1">
        <f t="array" ref="M158:M158">_xlfn.XLOOKUP($B$158,'分表5-政府性基金及附加'!$B$2：'分表5-政府性基金及附加'!$B$199,'分表5-政府性基金及附加'!$D$2：'分表5-政府性基金及附加'!$D$199)</f>
      </c>
      <c r="N158" s="36" cm="1">
        <f t="array" ref="N158:N158">_xlfn.XLOOKUP($B$158,'分表5-政府性基金及附加'!$B$2：'分表5-政府性基金及附加'!$B$199,'分表5-政府性基金及附加'!$D$2：'分表5-政府性基金及附加'!$D$199)</f>
      </c>
      <c r="O158" s="36" cm="1">
        <f t="array" ref="O158:O158">_xlfn.XLOOKUP($B$158,'分表5-政府性基金及附加'!$B$2：'分表5-政府性基金及附加'!$B$199,'分表5-政府性基金及附加'!$D$2：'分表5-政府性基金及附加'!$D$199)</f>
      </c>
      <c r="P158" s="36">
        <f>IF(SUM(D158:O158)=0,"0",AVERAGEIF(D158:O158,"&lt;&gt;0",D158:O158))</f>
      </c>
      <c r="Q158" s="35"/>
    </row>
    <row r="159">
      <c r="A159" s="34">
        <v>157</v>
      </c>
      <c r="B159" s="31" t="str">
        <v>蒙东</v>
      </c>
      <c r="C159" s="37" t="str">
        <v>系统运行费折价</v>
      </c>
      <c r="D159" s="32">
        <f>'分表8-2025三类细分价'!D407</f>
      </c>
      <c r="E159" s="32">
        <f>'分表8-2025三类细分价'!E407</f>
      </c>
      <c r="F159" s="32">
        <f>'分表8-2025三类细分价'!F407</f>
      </c>
      <c r="G159" s="32">
        <f>'分表8-2025三类细分价'!G407</f>
      </c>
      <c r="H159" s="32">
        <f>'分表8-2025三类细分价'!H407</f>
      </c>
      <c r="I159" s="32">
        <f>'分表8-2025三类细分价'!I407</f>
      </c>
      <c r="J159" s="32">
        <f>'分表8-2025三类细分价'!J407</f>
      </c>
      <c r="K159" s="32">
        <f>'分表8-2025三类细分价'!K407</f>
      </c>
      <c r="L159" s="32">
        <f>'分表8-2025三类细分价'!L407</f>
      </c>
      <c r="M159" s="32">
        <f>'分表8-2025三类细分价'!M407</f>
      </c>
      <c r="N159" s="32">
        <f>'分表8-2025三类细分价'!N407</f>
      </c>
      <c r="O159" s="32">
        <f>'分表8-2025三类细分价'!O407</f>
      </c>
      <c r="P159" s="36">
        <f>IF(SUM(D159:O159)=0,"0",AVERAGEIF(D159:O159,"&lt;&gt;0",D159:O159))</f>
      </c>
      <c r="Q159" s="35"/>
    </row>
    <row r="160">
      <c r="A160" s="34">
        <v>158</v>
      </c>
      <c r="B160" s="31" t="str">
        <v>蒙东</v>
      </c>
      <c r="C160" s="37" t="str">
        <v>综合平段电价--电网代购</v>
      </c>
      <c r="D160" s="36">
        <f>IF(D157="/","/",SUM(D155:D159))</f>
      </c>
      <c r="E160" s="36">
        <f>IF(E157="/","/",SUM(E155:E159))</f>
      </c>
      <c r="F160" s="36">
        <f>IF(F157="/","/",SUM(F155:F159))</f>
      </c>
      <c r="G160" s="36">
        <f>IF(G157="/","/",SUM(G155:G159))</f>
      </c>
      <c r="H160" s="36">
        <f>IF(H157="/","/",SUM(H155:H159))</f>
      </c>
      <c r="I160" s="36">
        <f>IF(I157="/","/",SUM(I155:I159))</f>
      </c>
      <c r="J160" s="36">
        <f>IF(J157="/","/",SUM(J155:J159))</f>
      </c>
      <c r="K160" s="36">
        <f>IF(K157="/","/",SUM(K155:K159))</f>
      </c>
      <c r="L160" s="36">
        <f>IF(L157="/","/",SUM(L155:L159))</f>
      </c>
      <c r="M160" s="36">
        <f>IF(M157="/","/",SUM(M155:M159))</f>
      </c>
      <c r="N160" s="36">
        <f>IF(N157="/","/",SUM(N155:N159))</f>
      </c>
      <c r="O160" s="36">
        <f>IF(O157="/","/",SUM(O155:O159))</f>
      </c>
      <c r="P160" s="36">
        <f>IF(SUM(D160:O160)=0,"0",AVERAGEIF(D160:O160,"&lt;&gt;0",D160:O160))</f>
      </c>
      <c r="Q160" s="35"/>
    </row>
    <row r="161">
      <c r="A161" s="34">
        <v>159</v>
      </c>
      <c r="B161" s="31" t="str">
        <v>蒙东</v>
      </c>
      <c r="C161" s="37" t="str">
        <v>入市交易购电价格</v>
      </c>
      <c r="D161" s="32">
        <f>'分表9-2025交易价格'!D21</f>
      </c>
      <c r="E161" s="32">
        <f>'分表9-2025交易价格'!E21</f>
      </c>
      <c r="F161" s="32">
        <f>'分表9-2025交易价格'!F21</f>
      </c>
      <c r="G161" s="32">
        <f>'分表9-2025交易价格'!G21</f>
      </c>
      <c r="H161" s="32">
        <f>'分表9-2025交易价格'!H21</f>
      </c>
      <c r="I161" s="32">
        <f>'分表9-2025交易价格'!I21</f>
      </c>
      <c r="J161" s="32">
        <f>'分表9-2025交易价格'!J21</f>
      </c>
      <c r="K161" s="32">
        <f>'分表9-2025交易价格'!K21</f>
      </c>
      <c r="L161" s="32">
        <f>'分表9-2025交易价格'!L21</f>
      </c>
      <c r="M161" s="32">
        <f>'分表9-2025交易价格'!M21</f>
      </c>
      <c r="N161" s="32">
        <f>'分表9-2025交易价格'!N21</f>
      </c>
      <c r="O161" s="32">
        <f>'分表9-2025交易价格'!O21</f>
      </c>
      <c r="P161" s="36">
        <f>IF(SUM(D161:O161)=0,"0",AVERAGEIF(D161:O161,"&lt;&gt;0",D161:O161))</f>
      </c>
      <c r="Q161" s="35"/>
    </row>
    <row r="162">
      <c r="A162" s="34">
        <v>160</v>
      </c>
      <c r="B162" s="31" t="str">
        <v>蒙东</v>
      </c>
      <c r="C162" s="37" t="str">
        <v>综合平段电价--入市交易</v>
      </c>
      <c r="D162" s="36">
        <f>IF(D157="/","/",IF(D161&gt;0,D161+SUM(D156:D159),"/"))</f>
      </c>
      <c r="E162" s="36">
        <f>IF(E157="/","/",IF(E161&gt;0,E161+SUM(E156:E159),"/"))</f>
      </c>
      <c r="F162" s="36">
        <f>IF(F157="/","/",IF(F161&gt;0,F161+SUM(F156:F159),"/"))</f>
      </c>
      <c r="G162" s="36">
        <f>IF(G157="/","/",IF(G161&gt;0,G161+SUM(G156:G159),"/"))</f>
      </c>
      <c r="H162" s="36">
        <f>IF(H157="/","/",IF(H161&gt;0,H161+SUM(H156:H159),"/"))</f>
      </c>
      <c r="I162" s="36">
        <f>IF(I157="/","/",IF(I161&gt;0,I161+SUM(I156:I159),"/"))</f>
      </c>
      <c r="J162" s="36">
        <f>IF(J157="/","/",IF(J161&gt;0,J161+SUM(J156:J159),"/"))</f>
      </c>
      <c r="K162" s="36">
        <f>IF(K157="/","/",IF(K161&gt;0,K161+SUM(K156:K159),"/"))</f>
      </c>
      <c r="L162" s="36">
        <f>IF(L157="/","/",IF(L161&gt;0,L161+SUM(L156:L159),"/"))</f>
      </c>
      <c r="M162" s="36">
        <f>IF(M157="/","/",IF(M161&gt;0,M161+SUM(M156:M159),"/"))</f>
      </c>
      <c r="N162" s="36">
        <f>IF(N157="/","/",IF(N161&gt;0,N161+SUM(N156:N159),"/"))</f>
      </c>
      <c r="O162" s="36">
        <f>IF(O157="/","/",IF(O161&gt;0,O161+SUM(O156:O159),"/"))</f>
      </c>
      <c r="P162" s="36">
        <f>IF(SUM(D162:O162)=0,"0",AVERAGEIF(D162:O162,"&lt;&gt;0",D162:O162))</f>
      </c>
      <c r="Q162" s="35"/>
    </row>
    <row r="163">
      <c r="A163" s="34">
        <v>161</v>
      </c>
      <c r="B163" s="40" t="str">
        <v>陕西</v>
      </c>
      <c r="C163" s="39" t="str">
        <v>代理购电价格</v>
      </c>
      <c r="D163" s="34">
        <f>'分表8-2025三类细分价'!D424</f>
      </c>
      <c r="E163" s="34">
        <f>'分表8-2025三类细分价'!E424</f>
      </c>
      <c r="F163" s="34">
        <f>'分表8-2025三类细分价'!F424</f>
      </c>
      <c r="G163" s="34">
        <f>'分表8-2025三类细分价'!G424</f>
      </c>
      <c r="H163" s="34">
        <f>'分表8-2025三类细分价'!H424</f>
      </c>
      <c r="I163" s="34">
        <f>'分表8-2025三类细分价'!I424</f>
      </c>
      <c r="J163" s="34">
        <f>'分表8-2025三类细分价'!J424</f>
      </c>
      <c r="K163" s="34">
        <f>'分表8-2025三类细分价'!K424</f>
      </c>
      <c r="L163" s="34">
        <f>'分表8-2025三类细分价'!L424</f>
      </c>
      <c r="M163" s="34">
        <f>'分表8-2025三类细分价'!M424</f>
      </c>
      <c r="N163" s="34">
        <f>'分表8-2025三类细分价'!N424</f>
      </c>
      <c r="O163" s="34">
        <f>'分表8-2025三类细分价'!O424</f>
      </c>
      <c r="P163" s="34">
        <f>IF(SUM(D163:O163)=0,"0",AVERAGEIF(D163:O163,"&lt;&gt;0",D163:O163))</f>
      </c>
      <c r="Q163" s="38"/>
    </row>
    <row r="164">
      <c r="A164" s="34">
        <v>162</v>
      </c>
      <c r="B164" s="40" t="str">
        <v>陕西</v>
      </c>
      <c r="C164" s="39" t="str">
        <v>上网环节线损电价</v>
      </c>
      <c r="D164" s="34">
        <f>'分表8-2025三类细分价'!D427</f>
      </c>
      <c r="E164" s="34">
        <f>'分表8-2025三类细分价'!E427</f>
      </c>
      <c r="F164" s="34">
        <f>'分表8-2025三类细分价'!F427</f>
      </c>
      <c r="G164" s="34">
        <f>'分表8-2025三类细分价'!G427</f>
      </c>
      <c r="H164" s="34">
        <f>'分表8-2025三类细分价'!H427</f>
      </c>
      <c r="I164" s="34">
        <f>'分表8-2025三类细分价'!I427</f>
      </c>
      <c r="J164" s="34">
        <f>'分表8-2025三类细分价'!J427</f>
      </c>
      <c r="K164" s="34">
        <f>'分表8-2025三类细分价'!K427</f>
      </c>
      <c r="L164" s="34">
        <f>'分表8-2025三类细分价'!L427</f>
      </c>
      <c r="M164" s="34">
        <f>'分表8-2025三类细分价'!M427</f>
      </c>
      <c r="N164" s="34">
        <f>'分表8-2025三类细分价'!N427</f>
      </c>
      <c r="O164" s="34">
        <f>'分表8-2025三类细分价'!O427</f>
      </c>
      <c r="P164" s="34">
        <f>IF(SUM(D164:O164)=0,"0",AVERAGEIF(D164:O164,"&lt;&gt;0",D164:O164))</f>
      </c>
      <c r="Q164" s="38"/>
    </row>
    <row r="165">
      <c r="A165" s="34">
        <v>163</v>
      </c>
      <c r="B165" s="40" t="str">
        <v>陕西</v>
      </c>
      <c r="C165" s="39" t="str">
        <v>电度输配电价</v>
      </c>
      <c r="D165" s="34" cm="1">
        <f t="array" ref="D165:D165">_xlfn.XLOOKUP($C$1,'分表4-电度输配电价'!$C162：'分表4-电度输配电价'!$C169&amp;'分表4-电度输配电价'!$D162：'分表4-电度输配电价'!$D169,'分表4-电度输配电价'!$E162：'分表4-电度输配电价'!$E169)</f>
      </c>
      <c r="E165" s="34" cm="1">
        <f t="array" ref="E165:E165">_xlfn.XLOOKUP($C$1,'分表4-电度输配电价'!$C162：'分表4-电度输配电价'!$C169&amp;'分表4-电度输配电价'!$D162：'分表4-电度输配电价'!$D169,'分表4-电度输配电价'!$E162：'分表4-电度输配电价'!$E169)</f>
      </c>
      <c r="F165" s="34" cm="1">
        <f t="array" ref="F165:F165">_xlfn.XLOOKUP($C$1,'分表4-电度输配电价'!$C162：'分表4-电度输配电价'!$C169&amp;'分表4-电度输配电价'!$D162：'分表4-电度输配电价'!$D169,'分表4-电度输配电价'!$E162：'分表4-电度输配电价'!$E169)</f>
      </c>
      <c r="G165" s="34" cm="1">
        <f t="array" ref="G165:G165">_xlfn.XLOOKUP($C$1,'分表4-电度输配电价'!$C162：'分表4-电度输配电价'!$C169&amp;'分表4-电度输配电价'!$D162：'分表4-电度输配电价'!$D169,'分表4-电度输配电价'!$E162：'分表4-电度输配电价'!$E169)</f>
      </c>
      <c r="H165" s="34" cm="1">
        <f t="array" ref="H165:H165">_xlfn.XLOOKUP($C$1,'分表4-电度输配电价'!$C162：'分表4-电度输配电价'!$C169&amp;'分表4-电度输配电价'!$D162：'分表4-电度输配电价'!$D169,'分表4-电度输配电价'!$E162：'分表4-电度输配电价'!$E169)</f>
      </c>
      <c r="I165" s="34" cm="1">
        <f t="array" ref="I165:I165">_xlfn.XLOOKUP($C$1,'分表4-电度输配电价'!$C162：'分表4-电度输配电价'!$C169&amp;'分表4-电度输配电价'!$D162：'分表4-电度输配电价'!$D169,'分表4-电度输配电价'!$E162：'分表4-电度输配电价'!$E169)</f>
      </c>
      <c r="J165" s="34" cm="1">
        <f t="array" ref="J165:J165">_xlfn.XLOOKUP($C$1,'分表4-电度输配电价'!$C162：'分表4-电度输配电价'!$C169&amp;'分表4-电度输配电价'!$D162：'分表4-电度输配电价'!$D169,'分表4-电度输配电价'!$E162：'分表4-电度输配电价'!$E169)</f>
      </c>
      <c r="K165" s="34" cm="1">
        <f t="array" ref="K165:K165">_xlfn.XLOOKUP($C$1,'分表4-电度输配电价'!$C162：'分表4-电度输配电价'!$C169&amp;'分表4-电度输配电价'!$D162：'分表4-电度输配电价'!$D169,'分表4-电度输配电价'!$E162：'分表4-电度输配电价'!$E169)</f>
      </c>
      <c r="L165" s="34" cm="1">
        <f t="array" ref="L165:L165">_xlfn.XLOOKUP($C$1,'分表4-电度输配电价'!$C162：'分表4-电度输配电价'!$C169&amp;'分表4-电度输配电价'!$D162：'分表4-电度输配电价'!$D169,'分表4-电度输配电价'!$E162：'分表4-电度输配电价'!$E169)</f>
      </c>
      <c r="M165" s="34" cm="1">
        <f t="array" ref="M165:M165">_xlfn.XLOOKUP($C$1,'分表4-电度输配电价'!$C162：'分表4-电度输配电价'!$C169&amp;'分表4-电度输配电价'!$D162：'分表4-电度输配电价'!$D169,'分表4-电度输配电价'!$E162：'分表4-电度输配电价'!$E169)</f>
      </c>
      <c r="N165" s="34" cm="1">
        <f t="array" ref="N165:N165">_xlfn.XLOOKUP($C$1,'分表4-电度输配电价'!$C162：'分表4-电度输配电价'!$C169&amp;'分表4-电度输配电价'!$D162：'分表4-电度输配电价'!$D169,'分表4-电度输配电价'!$E162：'分表4-电度输配电价'!$E169)</f>
      </c>
      <c r="O165" s="34" cm="1">
        <f t="array" ref="O165:O165">_xlfn.XLOOKUP($C$1,'分表4-电度输配电价'!$C162：'分表4-电度输配电价'!$C169&amp;'分表4-电度输配电价'!$D162：'分表4-电度输配电价'!$D169,'分表4-电度输配电价'!$E162：'分表4-电度输配电价'!$E169)</f>
      </c>
      <c r="P165" s="34">
        <f>IF(SUM(D165:O165)=0,"0",AVERAGEIF(D165:O165,"&lt;&gt;0",D165:O165))</f>
      </c>
      <c r="Q165" s="38"/>
    </row>
    <row r="166">
      <c r="A166" s="34">
        <v>164</v>
      </c>
      <c r="B166" s="40" t="str">
        <v>陕西</v>
      </c>
      <c r="C166" s="39" t="str">
        <v>政府性基金及附加</v>
      </c>
      <c r="D166" s="34" cm="1">
        <f t="array" ref="D166:D166">_xlfn.XLOOKUP($B$166,'分表5-政府性基金及附加'!$B$2：'分表5-政府性基金及附加'!$B$199,'分表5-政府性基金及附加'!$D$2：'分表5-政府性基金及附加'!$D$199)</f>
      </c>
      <c r="E166" s="34" cm="1">
        <f t="array" ref="E166:E166">_xlfn.XLOOKUP($B$166,'分表5-政府性基金及附加'!$B$2：'分表5-政府性基金及附加'!$B$199,'分表5-政府性基金及附加'!$D$2：'分表5-政府性基金及附加'!$D$199)</f>
      </c>
      <c r="F166" s="34" cm="1">
        <f t="array" ref="F166:F166">_xlfn.XLOOKUP($B$166,'分表5-政府性基金及附加'!$B$2：'分表5-政府性基金及附加'!$B$199,'分表5-政府性基金及附加'!$D$2：'分表5-政府性基金及附加'!$D$199)</f>
      </c>
      <c r="G166" s="34" cm="1">
        <f t="array" ref="G166:G166">_xlfn.XLOOKUP($B$166,'分表5-政府性基金及附加'!$B$2：'分表5-政府性基金及附加'!$B$199,'分表5-政府性基金及附加'!$D$2：'分表5-政府性基金及附加'!$D$199)</f>
      </c>
      <c r="H166" s="34" cm="1">
        <f t="array" ref="H166:H166">_xlfn.XLOOKUP($B$166,'分表5-政府性基金及附加'!$B$2：'分表5-政府性基金及附加'!$B$199,'分表5-政府性基金及附加'!$D$2：'分表5-政府性基金及附加'!$D$199)</f>
      </c>
      <c r="I166" s="34" cm="1">
        <f t="array" ref="I166:I166">_xlfn.XLOOKUP($B$166,'分表5-政府性基金及附加'!$B$2：'分表5-政府性基金及附加'!$B$199,'分表5-政府性基金及附加'!$D$2：'分表5-政府性基金及附加'!$D$199)</f>
      </c>
      <c r="J166" s="34" cm="1">
        <f t="array" ref="J166:J166">_xlfn.XLOOKUP($B$166,'分表5-政府性基金及附加'!$B$2：'分表5-政府性基金及附加'!$B$199,'分表5-政府性基金及附加'!$D$2：'分表5-政府性基金及附加'!$D$199)</f>
      </c>
      <c r="K166" s="34" cm="1">
        <f t="array" ref="K166:K166">_xlfn.XLOOKUP($B$166,'分表5-政府性基金及附加'!$B$2：'分表5-政府性基金及附加'!$B$199,'分表5-政府性基金及附加'!$D$2：'分表5-政府性基金及附加'!$D$199)</f>
      </c>
      <c r="L166" s="34" cm="1">
        <f t="array" ref="L166:L166">_xlfn.XLOOKUP($B$166,'分表5-政府性基金及附加'!$B$2：'分表5-政府性基金及附加'!$B$199,'分表5-政府性基金及附加'!$D$2：'分表5-政府性基金及附加'!$D$199)</f>
      </c>
      <c r="M166" s="34" cm="1">
        <f t="array" ref="M166:M166">_xlfn.XLOOKUP($B$166,'分表5-政府性基金及附加'!$B$2：'分表5-政府性基金及附加'!$B$199,'分表5-政府性基金及附加'!$D$2：'分表5-政府性基金及附加'!$D$199)</f>
      </c>
      <c r="N166" s="34" cm="1">
        <f t="array" ref="N166:N166">_xlfn.XLOOKUP($B$166,'分表5-政府性基金及附加'!$B$2：'分表5-政府性基金及附加'!$B$199,'分表5-政府性基金及附加'!$D$2：'分表5-政府性基金及附加'!$D$199)</f>
      </c>
      <c r="O166" s="34" cm="1">
        <f t="array" ref="O166:O166">_xlfn.XLOOKUP($B$166,'分表5-政府性基金及附加'!$B$2：'分表5-政府性基金及附加'!$B$199,'分表5-政府性基金及附加'!$D$2：'分表5-政府性基金及附加'!$D$199)</f>
      </c>
      <c r="P166" s="34">
        <f>IF(SUM(D166:O166)=0,"0",AVERAGEIF(D166:O166,"&lt;&gt;0",D166:O166))</f>
      </c>
      <c r="Q166" s="38"/>
    </row>
    <row r="167">
      <c r="A167" s="34">
        <v>165</v>
      </c>
      <c r="B167" s="40" t="str">
        <v>陕西</v>
      </c>
      <c r="C167" s="39" t="str">
        <v>系统运行费折价</v>
      </c>
      <c r="D167" s="34">
        <f>'分表8-2025三类细分价'!D428</f>
      </c>
      <c r="E167" s="34">
        <f>'分表8-2025三类细分价'!E428</f>
      </c>
      <c r="F167" s="34">
        <f>'分表8-2025三类细分价'!F428</f>
      </c>
      <c r="G167" s="34">
        <f>'分表8-2025三类细分价'!G428</f>
      </c>
      <c r="H167" s="34">
        <f>'分表8-2025三类细分价'!H428</f>
      </c>
      <c r="I167" s="34">
        <f>'分表8-2025三类细分价'!I428</f>
      </c>
      <c r="J167" s="34">
        <f>'分表8-2025三类细分价'!J428</f>
      </c>
      <c r="K167" s="34">
        <f>'分表8-2025三类细分价'!K428</f>
      </c>
      <c r="L167" s="34">
        <f>'分表8-2025三类细分价'!L428</f>
      </c>
      <c r="M167" s="34">
        <f>'分表8-2025三类细分价'!M428</f>
      </c>
      <c r="N167" s="34">
        <f>'分表8-2025三类细分价'!N428</f>
      </c>
      <c r="O167" s="34">
        <f>'分表8-2025三类细分价'!O428</f>
      </c>
      <c r="P167" s="34">
        <f>IF(SUM(D167:O167)=0,"0",AVERAGEIF(D167:O167,"&lt;&gt;0",D167:O167))</f>
      </c>
      <c r="Q167" s="38"/>
    </row>
    <row r="168">
      <c r="A168" s="34">
        <v>166</v>
      </c>
      <c r="B168" s="40" t="str">
        <v>陕西</v>
      </c>
      <c r="C168" s="39" t="str">
        <v>综合平段电价--电网代购</v>
      </c>
      <c r="D168" s="34">
        <f>IF(D165="/","/",SUM(D163:D167))</f>
      </c>
      <c r="E168" s="34">
        <f>IF(E165="/","/",SUM(E163:E167))</f>
      </c>
      <c r="F168" s="34">
        <f>IF(F165="/","/",SUM(F163:F167))</f>
      </c>
      <c r="G168" s="34">
        <f>IF(G165="/","/",SUM(G163:G167))</f>
      </c>
      <c r="H168" s="34">
        <f>IF(H165="/","/",SUM(H163:H167))</f>
      </c>
      <c r="I168" s="34">
        <f>IF(I165="/","/",SUM(I163:I167))</f>
      </c>
      <c r="J168" s="34">
        <f>IF(J165="/","/",SUM(J163:J167))</f>
      </c>
      <c r="K168" s="34">
        <f>IF(K165="/","/",SUM(K163:K167))</f>
      </c>
      <c r="L168" s="34">
        <f>IF(L165="/","/",SUM(L163:L167))</f>
      </c>
      <c r="M168" s="34">
        <f>IF(M165="/","/",SUM(M163:M167))</f>
      </c>
      <c r="N168" s="34">
        <f>IF(N165="/","/",SUM(N163:N167))</f>
      </c>
      <c r="O168" s="34">
        <f>IF(O165="/","/",SUM(O163:O167))</f>
      </c>
      <c r="P168" s="34">
        <f>IF(SUM(D168:O168)=0,"0",AVERAGEIF(D168:O168,"&lt;&gt;0",D168:O168))</f>
      </c>
      <c r="Q168" s="38"/>
    </row>
    <row r="169">
      <c r="A169" s="34">
        <v>167</v>
      </c>
      <c r="B169" s="40" t="str">
        <v>陕西</v>
      </c>
      <c r="C169" s="39" t="str">
        <v>入市交易购电价格</v>
      </c>
      <c r="D169" s="34">
        <f>'分表9-2025交易价格'!D22</f>
      </c>
      <c r="E169" s="34">
        <f>'分表9-2025交易价格'!E22</f>
      </c>
      <c r="F169" s="34">
        <f>'分表9-2025交易价格'!F22</f>
      </c>
      <c r="G169" s="34">
        <f>'分表9-2025交易价格'!G22</f>
      </c>
      <c r="H169" s="34">
        <f>'分表9-2025交易价格'!H22</f>
      </c>
      <c r="I169" s="34">
        <f>'分表9-2025交易价格'!I22</f>
      </c>
      <c r="J169" s="34">
        <f>'分表9-2025交易价格'!J22</f>
      </c>
      <c r="K169" s="34">
        <f>'分表9-2025交易价格'!K22</f>
      </c>
      <c r="L169" s="34">
        <f>'分表9-2025交易价格'!L22</f>
      </c>
      <c r="M169" s="34">
        <f>'分表9-2025交易价格'!M22</f>
      </c>
      <c r="N169" s="34">
        <f>'分表9-2025交易价格'!N22</f>
      </c>
      <c r="O169" s="34">
        <f>'分表9-2025交易价格'!O22</f>
      </c>
      <c r="P169" s="34">
        <f>IF(SUM(D169:O169)=0,"0",AVERAGEIF(D169:O169,"&lt;&gt;0",D169:O169))</f>
      </c>
      <c r="Q169" s="38"/>
    </row>
    <row customHeight="true" ht="19" r="170">
      <c r="A170" s="34">
        <v>168</v>
      </c>
      <c r="B170" s="40" t="str">
        <v>陕西</v>
      </c>
      <c r="C170" s="39" t="str">
        <v>综合平段电价--入市交易</v>
      </c>
      <c r="D170" s="34">
        <f>IF(D165="/","/",IF(D169&gt;0,D169+SUM(D164:D167),"/"))</f>
      </c>
      <c r="E170" s="34">
        <f>IF(E165="/","/",IF(E169&gt;0,E169+SUM(E164:E167),"/"))</f>
      </c>
      <c r="F170" s="34">
        <f>IF(F165="/","/",IF(F169&gt;0,F169+SUM(F164:F167),"/"))</f>
      </c>
      <c r="G170" s="34">
        <f>IF(G165="/","/",IF(G169&gt;0,G169+SUM(G164:G167),"/"))</f>
      </c>
      <c r="H170" s="34">
        <f>IF(H165="/","/",IF(H169&gt;0,H169+SUM(H164:H167),"/"))</f>
      </c>
      <c r="I170" s="34">
        <f>IF(I165="/","/",IF(I169&gt;0,I169+SUM(I164:I167),"/"))</f>
      </c>
      <c r="J170" s="34">
        <f>IF(J165="/","/",IF(J169&gt;0,J169+SUM(J164:J167),"/"))</f>
      </c>
      <c r="K170" s="34">
        <f>IF(K165="/","/",IF(K169&gt;0,K169+SUM(K164:K167),"/"))</f>
      </c>
      <c r="L170" s="34">
        <f>IF(L165="/","/",IF(L169&gt;0,L169+SUM(L164:L167),"/"))</f>
      </c>
      <c r="M170" s="34">
        <f>IF(M165="/","/",IF(M169&gt;0,M169+SUM(M164:M167),"/"))</f>
      </c>
      <c r="N170" s="34">
        <f>IF(N165="/","/",IF(N169&gt;0,N169+SUM(N164:N167),"/"))</f>
      </c>
      <c r="O170" s="34">
        <f>IF(O165="/","/",IF(O169&gt;0,O169+SUM(O164:O167),"/"))</f>
      </c>
      <c r="P170" s="34">
        <f>IF(SUM(D170:O170)=0,"0",AVERAGEIF(D170:O170,"&lt;&gt;0",D170:O170))</f>
      </c>
      <c r="Q170" s="38"/>
    </row>
    <row r="171">
      <c r="A171" s="34">
        <v>169</v>
      </c>
      <c r="B171" s="31" t="str">
        <v>甘肃</v>
      </c>
      <c r="C171" s="37" t="str">
        <v>代理购电价格</v>
      </c>
      <c r="D171" s="42">
        <v>0.373083</v>
      </c>
      <c r="E171" s="42">
        <v>0.299629</v>
      </c>
      <c r="F171" s="42">
        <v>0.300657</v>
      </c>
      <c r="G171" s="42">
        <v>0.30626</v>
      </c>
      <c r="H171" s="42">
        <v>0.304141</v>
      </c>
      <c r="I171" s="42">
        <v>0.283404</v>
      </c>
      <c r="J171" s="42">
        <v>0.256183</v>
      </c>
      <c r="K171" s="42">
        <v>0.25585</v>
      </c>
      <c r="L171" s="42">
        <v>0.26885</v>
      </c>
      <c r="M171" s="42">
        <v>0.281258</v>
      </c>
      <c r="N171" s="42">
        <v>0.284148</v>
      </c>
      <c r="O171" s="42">
        <v>0.301865</v>
      </c>
      <c r="P171" s="36">
        <f>IF(SUM(D171:O171)=0,"0",AVERAGEIF(D171:O171,"&lt;&gt;0",D171:O171))</f>
      </c>
      <c r="Q171" s="35"/>
    </row>
    <row r="172">
      <c r="A172" s="34">
        <v>170</v>
      </c>
      <c r="B172" s="31" t="str">
        <v>甘肃</v>
      </c>
      <c r="C172" s="37" t="str">
        <v>上网环节线损电价</v>
      </c>
      <c r="D172" s="42">
        <v>0.008822</v>
      </c>
      <c r="E172" s="42">
        <v>0.007085</v>
      </c>
      <c r="F172" s="42">
        <v>0.007109</v>
      </c>
      <c r="G172" s="42">
        <v>0.007242</v>
      </c>
      <c r="H172" s="42">
        <v>0.007192</v>
      </c>
      <c r="I172" s="42">
        <v>0.006701</v>
      </c>
      <c r="J172" s="42">
        <v>0.006058</v>
      </c>
      <c r="K172" s="42">
        <v>0.00605</v>
      </c>
      <c r="L172" s="42">
        <v>0.006357</v>
      </c>
      <c r="M172" s="42">
        <v>0.006651</v>
      </c>
      <c r="N172" s="42">
        <v>0.006719</v>
      </c>
      <c r="O172" s="42">
        <v>0.007138</v>
      </c>
      <c r="P172" s="36">
        <f>IF(SUM(D172:O172)=0,"0",AVERAGEIF(D172:O172,"&lt;&gt;0",D172:O172))</f>
      </c>
      <c r="Q172" s="35"/>
    </row>
    <row r="173">
      <c r="A173" s="34">
        <v>171</v>
      </c>
      <c r="B173" s="31" t="str">
        <v>甘肃</v>
      </c>
      <c r="C173" s="37" t="str">
        <v>电度输配电价</v>
      </c>
      <c r="D173" s="36" cm="1">
        <f t="array" ref="D173:D173">_xlfn.XLOOKUP($C$1,'分表4-电度输配电价'!$C170：'分表4-电度输配电价'!$C177&amp;'分表4-电度输配电价'!$D170：'分表4-电度输配电价'!$D177,'分表4-电度输配电价'!$E170：'分表4-电度输配电价'!$E177)</f>
      </c>
      <c r="E173" s="36" cm="1">
        <f t="array" ref="E173:E173">_xlfn.XLOOKUP($C$1,'分表4-电度输配电价'!$C170：'分表4-电度输配电价'!$C177&amp;'分表4-电度输配电价'!$D170：'分表4-电度输配电价'!$D177,'分表4-电度输配电价'!$E170：'分表4-电度输配电价'!$E177)</f>
      </c>
      <c r="F173" s="36" cm="1">
        <f t="array" ref="F173:F173">_xlfn.XLOOKUP($C$1,'分表4-电度输配电价'!$C170：'分表4-电度输配电价'!$C177&amp;'分表4-电度输配电价'!$D170：'分表4-电度输配电价'!$D177,'分表4-电度输配电价'!$E170：'分表4-电度输配电价'!$E177)</f>
      </c>
      <c r="G173" s="36" cm="1">
        <f t="array" ref="G173:G173">_xlfn.XLOOKUP($C$1,'分表4-电度输配电价'!$C170：'分表4-电度输配电价'!$C177&amp;'分表4-电度输配电价'!$D170：'分表4-电度输配电价'!$D177,'分表4-电度输配电价'!$E170：'分表4-电度输配电价'!$E177)</f>
      </c>
      <c r="H173" s="36" cm="1">
        <f t="array" ref="H173:H173">_xlfn.XLOOKUP($C$1,'分表4-电度输配电价'!$C170：'分表4-电度输配电价'!$C177&amp;'分表4-电度输配电价'!$D170：'分表4-电度输配电价'!$D177,'分表4-电度输配电价'!$E170：'分表4-电度输配电价'!$E177)</f>
      </c>
      <c r="I173" s="36" cm="1">
        <f t="array" ref="I173:I173">_xlfn.XLOOKUP($C$1,'分表4-电度输配电价'!$C170：'分表4-电度输配电价'!$C177&amp;'分表4-电度输配电价'!$D170：'分表4-电度输配电价'!$D177,'分表4-电度输配电价'!$E170：'分表4-电度输配电价'!$E177)</f>
      </c>
      <c r="J173" s="36" cm="1">
        <f t="array" ref="J173:J173">_xlfn.XLOOKUP($C$1,'分表4-电度输配电价'!$C170：'分表4-电度输配电价'!$C177&amp;'分表4-电度输配电价'!$D170：'分表4-电度输配电价'!$D177,'分表4-电度输配电价'!$E170：'分表4-电度输配电价'!$E177)</f>
      </c>
      <c r="K173" s="36" cm="1">
        <f t="array" ref="K173:K173">_xlfn.XLOOKUP($C$1,'分表4-电度输配电价'!$C170：'分表4-电度输配电价'!$C177&amp;'分表4-电度输配电价'!$D170：'分表4-电度输配电价'!$D177,'分表4-电度输配电价'!$E170：'分表4-电度输配电价'!$E177)</f>
      </c>
      <c r="L173" s="36" cm="1">
        <f t="array" ref="L173:L173">_xlfn.XLOOKUP($C$1,'分表4-电度输配电价'!$C170：'分表4-电度输配电价'!$C177&amp;'分表4-电度输配电价'!$D170：'分表4-电度输配电价'!$D177,'分表4-电度输配电价'!$E170：'分表4-电度输配电价'!$E177)</f>
      </c>
      <c r="M173" s="36" cm="1">
        <f t="array" ref="M173:M173">_xlfn.XLOOKUP($C$1,'分表4-电度输配电价'!$C170：'分表4-电度输配电价'!$C177&amp;'分表4-电度输配电价'!$D170：'分表4-电度输配电价'!$D177,'分表4-电度输配电价'!$E170：'分表4-电度输配电价'!$E177)</f>
      </c>
      <c r="N173" s="36" cm="1">
        <f t="array" ref="N173:N173">_xlfn.XLOOKUP($C$1,'分表4-电度输配电价'!$C170：'分表4-电度输配电价'!$C177&amp;'分表4-电度输配电价'!$D170：'分表4-电度输配电价'!$D177,'分表4-电度输配电价'!$E170：'分表4-电度输配电价'!$E177)</f>
      </c>
      <c r="O173" s="36" cm="1">
        <f t="array" ref="O173:O173">_xlfn.XLOOKUP($C$1,'分表4-电度输配电价'!$C170：'分表4-电度输配电价'!$C177&amp;'分表4-电度输配电价'!$D170：'分表4-电度输配电价'!$D177,'分表4-电度输配电价'!$E170：'分表4-电度输配电价'!$E177)</f>
      </c>
      <c r="P173" s="36">
        <f>IF(SUM(D173:O173)=0,"0",AVERAGEIF(D173:O173,"&lt;&gt;0",D173:O173))</f>
      </c>
      <c r="Q173" s="35"/>
    </row>
    <row r="174">
      <c r="A174" s="34">
        <v>172</v>
      </c>
      <c r="B174" s="31" t="str">
        <v>甘肃</v>
      </c>
      <c r="C174" s="37" t="str">
        <v>政府性基金及附加</v>
      </c>
      <c r="D174" s="36" cm="1">
        <f t="array" ref="D174:D174">_xlfn.XLOOKUP($B$174,'分表5-政府性基金及附加'!$B$2：'分表5-政府性基金及附加'!$B$199,'分表5-政府性基金及附加'!$D$2：'分表5-政府性基金及附加'!$D$199)</f>
      </c>
      <c r="E174" s="36" cm="1">
        <f t="array" ref="E174:E174">_xlfn.XLOOKUP($B$174,'分表5-政府性基金及附加'!$B$2：'分表5-政府性基金及附加'!$B$199,'分表5-政府性基金及附加'!$D$2：'分表5-政府性基金及附加'!$D$199)</f>
      </c>
      <c r="F174" s="36" cm="1">
        <f t="array" ref="F174:F174">_xlfn.XLOOKUP($B$174,'分表5-政府性基金及附加'!$B$2：'分表5-政府性基金及附加'!$B$199,'分表5-政府性基金及附加'!$D$2：'分表5-政府性基金及附加'!$D$199)</f>
      </c>
      <c r="G174" s="36" cm="1">
        <f t="array" ref="G174:G174">_xlfn.XLOOKUP($B$174,'分表5-政府性基金及附加'!$B$2：'分表5-政府性基金及附加'!$B$199,'分表5-政府性基金及附加'!$D$2：'分表5-政府性基金及附加'!$D$199)</f>
      </c>
      <c r="H174" s="36" cm="1">
        <f t="array" ref="H174:H174">_xlfn.XLOOKUP($B$174,'分表5-政府性基金及附加'!$B$2：'分表5-政府性基金及附加'!$B$199,'分表5-政府性基金及附加'!$D$2：'分表5-政府性基金及附加'!$D$199)</f>
      </c>
      <c r="I174" s="36" cm="1">
        <f t="array" ref="I174:I174">_xlfn.XLOOKUP($B$174,'分表5-政府性基金及附加'!$B$2：'分表5-政府性基金及附加'!$B$199,'分表5-政府性基金及附加'!$D$2：'分表5-政府性基金及附加'!$D$199)</f>
      </c>
      <c r="J174" s="36" cm="1">
        <f t="array" ref="J174:J174">_xlfn.XLOOKUP($B$174,'分表5-政府性基金及附加'!$B$2：'分表5-政府性基金及附加'!$B$199,'分表5-政府性基金及附加'!$D$2：'分表5-政府性基金及附加'!$D$199)</f>
      </c>
      <c r="K174" s="36" cm="1">
        <f t="array" ref="K174:K174">_xlfn.XLOOKUP($B$174,'分表5-政府性基金及附加'!$B$2：'分表5-政府性基金及附加'!$B$199,'分表5-政府性基金及附加'!$D$2：'分表5-政府性基金及附加'!$D$199)</f>
      </c>
      <c r="L174" s="36" cm="1">
        <f t="array" ref="L174:L174">_xlfn.XLOOKUP($B$174,'分表5-政府性基金及附加'!$B$2：'分表5-政府性基金及附加'!$B$199,'分表5-政府性基金及附加'!$D$2：'分表5-政府性基金及附加'!$D$199)</f>
      </c>
      <c r="M174" s="36" cm="1">
        <f t="array" ref="M174:M174">_xlfn.XLOOKUP($B$174,'分表5-政府性基金及附加'!$B$2：'分表5-政府性基金及附加'!$B$199,'分表5-政府性基金及附加'!$D$2：'分表5-政府性基金及附加'!$D$199)</f>
      </c>
      <c r="N174" s="36" cm="1">
        <f t="array" ref="N174:N174">_xlfn.XLOOKUP($B$174,'分表5-政府性基金及附加'!$B$2：'分表5-政府性基金及附加'!$B$199,'分表5-政府性基金及附加'!$D$2：'分表5-政府性基金及附加'!$D$199)</f>
      </c>
      <c r="O174" s="36" cm="1">
        <f t="array" ref="O174:O174">_xlfn.XLOOKUP($B$174,'分表5-政府性基金及附加'!$B$2：'分表5-政府性基金及附加'!$B$199,'分表5-政府性基金及附加'!$D$2：'分表5-政府性基金及附加'!$D$199)</f>
      </c>
      <c r="P174" s="36">
        <f>IF(SUM(D174:O174)=0,"0",AVERAGEIF(D174:O174,"&lt;&gt;0",D174:O174))</f>
      </c>
      <c r="Q174" s="35"/>
    </row>
    <row r="175">
      <c r="A175" s="34">
        <v>173</v>
      </c>
      <c r="B175" s="31" t="str">
        <v>甘肃</v>
      </c>
      <c r="C175" s="37" t="str">
        <v>系统运行费折价</v>
      </c>
      <c r="D175" s="32">
        <f>'分表8-2025三类细分价'!D450</f>
      </c>
      <c r="E175" s="32">
        <f>'分表8-2025三类细分价'!E450</f>
      </c>
      <c r="F175" s="32">
        <f>'分表8-2025三类细分价'!F450</f>
      </c>
      <c r="G175" s="32">
        <f>'分表8-2025三类细分价'!G450</f>
      </c>
      <c r="H175" s="32">
        <f>'分表8-2025三类细分价'!H450</f>
      </c>
      <c r="I175" s="32">
        <f>'分表8-2025三类细分价'!I450</f>
      </c>
      <c r="J175" s="32">
        <f>'分表8-2025三类细分价'!J450</f>
      </c>
      <c r="K175" s="32">
        <f>'分表8-2025三类细分价'!K450</f>
      </c>
      <c r="L175" s="32">
        <f>'分表8-2025三类细分价'!L450</f>
      </c>
      <c r="M175" s="32">
        <f>'分表8-2025三类细分价'!M450</f>
      </c>
      <c r="N175" s="32">
        <f>'分表8-2025三类细分价'!N450</f>
      </c>
      <c r="O175" s="32">
        <f>'分表8-2025三类细分价'!O450</f>
      </c>
      <c r="P175" s="36">
        <f>IF(SUM(D175:O175)=0,"0",AVERAGEIF(D175:O175,"&lt;&gt;0",D175:O175))</f>
      </c>
      <c r="Q175" s="35"/>
    </row>
    <row customHeight="true" ht="19" r="176">
      <c r="A176" s="34">
        <v>174</v>
      </c>
      <c r="B176" s="31" t="str">
        <v>甘肃</v>
      </c>
      <c r="C176" s="37" t="str">
        <v>综合平段电价--电网代购</v>
      </c>
      <c r="D176" s="36">
        <f>IF(D173="/","/",SUM(D171:D175))</f>
      </c>
      <c r="E176" s="36">
        <f>IF(E173="/","/",SUM(E171:E175))</f>
      </c>
      <c r="F176" s="36">
        <f>IF(F173="/","/",SUM(F171:F175))</f>
      </c>
      <c r="G176" s="36">
        <f>IF(G173="/","/",SUM(G171:G175))</f>
      </c>
      <c r="H176" s="36">
        <f>IF(H173="/","/",SUM(H171:H175))</f>
      </c>
      <c r="I176" s="36">
        <f>IF(I173="/","/",SUM(I171:I175))</f>
      </c>
      <c r="J176" s="36">
        <f>IF(J173="/","/",SUM(J171:J175))</f>
      </c>
      <c r="K176" s="36">
        <f>IF(K173="/","/",SUM(K171:K175))</f>
      </c>
      <c r="L176" s="36">
        <f>IF(L173="/","/",SUM(L171:L175))</f>
      </c>
      <c r="M176" s="36">
        <f>IF(M173="/","/",SUM(M171:M175))</f>
      </c>
      <c r="N176" s="36">
        <f>IF(N173="/","/",SUM(N171:N175))</f>
      </c>
      <c r="O176" s="36">
        <f>IF(O173="/","/",SUM(O171:O175))</f>
      </c>
      <c r="P176" s="36">
        <f>IF(SUM(D176:O176)=0,"0",AVERAGEIF(D176:O176,"&lt;&gt;0",D176:O176))</f>
      </c>
      <c r="Q176" s="35"/>
    </row>
    <row r="177">
      <c r="A177" s="34">
        <v>175</v>
      </c>
      <c r="B177" s="31" t="str">
        <v>甘肃</v>
      </c>
      <c r="C177" s="37" t="str">
        <v>入市交易购电价格</v>
      </c>
      <c r="D177" s="32">
        <f>'分表9-2025交易价格'!D23</f>
      </c>
      <c r="E177" s="32">
        <f>'分表9-2025交易价格'!E23</f>
      </c>
      <c r="F177" s="32">
        <f>'分表9-2025交易价格'!F23</f>
      </c>
      <c r="G177" s="32">
        <f>'分表9-2025交易价格'!G23</f>
      </c>
      <c r="H177" s="32">
        <f>'分表9-2025交易价格'!H23</f>
      </c>
      <c r="I177" s="32">
        <f>'分表9-2025交易价格'!I23</f>
      </c>
      <c r="J177" s="32">
        <f>'分表9-2025交易价格'!J23</f>
      </c>
      <c r="K177" s="32">
        <f>'分表9-2025交易价格'!K23</f>
      </c>
      <c r="L177" s="32">
        <f>'分表9-2025交易价格'!L23</f>
      </c>
      <c r="M177" s="32">
        <f>'分表9-2025交易价格'!M23</f>
      </c>
      <c r="N177" s="32">
        <f>'分表9-2025交易价格'!N23</f>
      </c>
      <c r="O177" s="32">
        <f>'分表9-2025交易价格'!O23</f>
      </c>
      <c r="P177" s="36">
        <f>IF(SUM(D177:O177)=0,"0",AVERAGEIF(D177:O177,"&lt;&gt;0",D177:O177))</f>
      </c>
      <c r="Q177" s="35"/>
    </row>
    <row r="178">
      <c r="A178" s="34">
        <v>176</v>
      </c>
      <c r="B178" s="31" t="str">
        <v>甘肃</v>
      </c>
      <c r="C178" s="37" t="str">
        <v>综合平段电价--入市交易</v>
      </c>
      <c r="D178" s="36">
        <f>IF(D173="/","/",IF(D177&gt;0,D177+SUM(D172:D175),"/"))</f>
      </c>
      <c r="E178" s="36">
        <f>IF(E173="/","/",IF(E177&gt;0,E177+SUM(E172:E175),"/"))</f>
      </c>
      <c r="F178" s="36">
        <f>IF(F173="/","/",IF(F177&gt;0,F177+SUM(F172:F175),"/"))</f>
      </c>
      <c r="G178" s="36">
        <f>IF(G173="/","/",IF(G177&gt;0,G177+SUM(G172:G175),"/"))</f>
      </c>
      <c r="H178" s="36">
        <f>IF(H173="/","/",IF(H177&gt;0,H177+SUM(H172:H175),"/"))</f>
      </c>
      <c r="I178" s="36">
        <f>IF(I173="/","/",IF(I177&gt;0,I177+SUM(I172:I175),"/"))</f>
      </c>
      <c r="J178" s="36">
        <f>IF(J173="/","/",IF(J177&gt;0,J177+SUM(J172:J175),"/"))</f>
      </c>
      <c r="K178" s="36">
        <f>IF(K173="/","/",IF(K177&gt;0,K177+SUM(K172:K175),"/"))</f>
      </c>
      <c r="L178" s="36">
        <f>IF(L173="/","/",IF(L177&gt;0,L177+SUM(L172:L175),"/"))</f>
      </c>
      <c r="M178" s="36">
        <f>IF(M173="/","/",IF(M177&gt;0,M177+SUM(M172:M175),"/"))</f>
      </c>
      <c r="N178" s="36">
        <f>IF(N173="/","/",IF(N177&gt;0,N177+SUM(N172:N175),"/"))</f>
      </c>
      <c r="O178" s="36">
        <f>IF(O173="/","/",IF(O177&gt;0,O177+SUM(O172:O175),"/"))</f>
      </c>
      <c r="P178" s="36">
        <f>IF(SUM(D178:O178)=0,"0",AVERAGEIF(D178:O178,"&lt;&gt;0",D178:O178))</f>
      </c>
      <c r="Q178" s="35"/>
    </row>
    <row r="179">
      <c r="A179" s="34">
        <v>177</v>
      </c>
      <c r="B179" s="40" t="str">
        <v>青海</v>
      </c>
      <c r="C179" s="39" t="str">
        <v>代理购电价格</v>
      </c>
      <c r="D179" s="34">
        <f>'分表8-2025三类细分价'!D467</f>
      </c>
      <c r="E179" s="34">
        <f>'分表8-2025三类细分价'!E467</f>
      </c>
      <c r="F179" s="34">
        <f>'分表8-2025三类细分价'!F467</f>
      </c>
      <c r="G179" s="34">
        <f>'分表8-2025三类细分价'!G467</f>
      </c>
      <c r="H179" s="34">
        <f>'分表8-2025三类细分价'!H467</f>
      </c>
      <c r="I179" s="34">
        <f>'分表8-2025三类细分价'!I467</f>
      </c>
      <c r="J179" s="34">
        <f>'分表8-2025三类细分价'!J467</f>
      </c>
      <c r="K179" s="34">
        <f>'分表8-2025三类细分价'!K467</f>
      </c>
      <c r="L179" s="34">
        <f>'分表8-2025三类细分价'!L467</f>
      </c>
      <c r="M179" s="34">
        <f>'分表8-2025三类细分价'!M467</f>
      </c>
      <c r="N179" s="34">
        <f>'分表8-2025三类细分价'!N467</f>
      </c>
      <c r="O179" s="34">
        <f>'分表8-2025三类细分价'!O467</f>
      </c>
      <c r="P179" s="34">
        <f>IF(SUM(D179:O179)=0,"0",AVERAGEIF(D179:O179,"&lt;&gt;0",D179:O179))</f>
      </c>
      <c r="Q179" s="38"/>
    </row>
    <row r="180">
      <c r="A180" s="34">
        <v>178</v>
      </c>
      <c r="B180" s="40" t="str">
        <v>青海</v>
      </c>
      <c r="C180" s="39" t="str">
        <v>上网环节线损电价</v>
      </c>
      <c r="D180" s="34">
        <f>'分表8-2025三类细分价'!D470</f>
      </c>
      <c r="E180" s="34">
        <f>'分表8-2025三类细分价'!E470</f>
      </c>
      <c r="F180" s="34">
        <f>'分表8-2025三类细分价'!F470</f>
      </c>
      <c r="G180" s="34">
        <f>'分表8-2025三类细分价'!G470</f>
      </c>
      <c r="H180" s="34">
        <f>'分表8-2025三类细分价'!H470</f>
      </c>
      <c r="I180" s="34">
        <f>'分表8-2025三类细分价'!I470</f>
      </c>
      <c r="J180" s="34">
        <f>'分表8-2025三类细分价'!J470</f>
      </c>
      <c r="K180" s="34">
        <f>'分表8-2025三类细分价'!K470</f>
      </c>
      <c r="L180" s="34">
        <f>'分表8-2025三类细分价'!L470</f>
      </c>
      <c r="M180" s="34">
        <f>'分表8-2025三类细分价'!M470</f>
      </c>
      <c r="N180" s="34">
        <f>'分表8-2025三类细分价'!N470</f>
      </c>
      <c r="O180" s="34">
        <f>'分表8-2025三类细分价'!O470</f>
      </c>
      <c r="P180" s="34">
        <f>IF(SUM(D180:O180)=0,"0",AVERAGEIF(D180:O180,"&lt;&gt;0",D180:O180))</f>
      </c>
      <c r="Q180" s="38"/>
    </row>
    <row r="181">
      <c r="A181" s="34">
        <v>179</v>
      </c>
      <c r="B181" s="40" t="str">
        <v>青海</v>
      </c>
      <c r="C181" s="39" t="str">
        <v>电度输配电价</v>
      </c>
      <c r="D181" s="34" cm="1">
        <f t="array" ref="D181:D181">_xlfn.XLOOKUP($C$1,'分表4-电度输配电价'!$C178：'分表4-电度输配电价'!$C185&amp;'分表4-电度输配电价'!$D178：'分表4-电度输配电价'!$D185,'分表4-电度输配电价'!$E178：'分表4-电度输配电价'!$E185)</f>
      </c>
      <c r="E181" s="34" cm="1">
        <f t="array" ref="E181:E181">_xlfn.XLOOKUP($C$1,'分表4-电度输配电价'!$C178：'分表4-电度输配电价'!$C185&amp;'分表4-电度输配电价'!$D178：'分表4-电度输配电价'!$D185,'分表4-电度输配电价'!$E178：'分表4-电度输配电价'!$E185)</f>
      </c>
      <c r="F181" s="34" cm="1">
        <f t="array" ref="F181:F181">_xlfn.XLOOKUP($C$1,'分表4-电度输配电价'!$C178：'分表4-电度输配电价'!$C185&amp;'分表4-电度输配电价'!$D178：'分表4-电度输配电价'!$D185,'分表4-电度输配电价'!$E178：'分表4-电度输配电价'!$E185)</f>
      </c>
      <c r="G181" s="34" cm="1">
        <f t="array" ref="G181:G181">_xlfn.XLOOKUP($C$1,'分表4-电度输配电价'!$C178：'分表4-电度输配电价'!$C185&amp;'分表4-电度输配电价'!$D178：'分表4-电度输配电价'!$D185,'分表4-电度输配电价'!$E178：'分表4-电度输配电价'!$E185)</f>
      </c>
      <c r="H181" s="34" cm="1">
        <f t="array" ref="H181:H181">_xlfn.XLOOKUP($C$1,'分表4-电度输配电价'!$C178：'分表4-电度输配电价'!$C185&amp;'分表4-电度输配电价'!$D178：'分表4-电度输配电价'!$D185,'分表4-电度输配电价'!$E178：'分表4-电度输配电价'!$E185)</f>
      </c>
      <c r="I181" s="34" cm="1">
        <f t="array" ref="I181:I181">_xlfn.XLOOKUP($C$1,'分表4-电度输配电价'!$C178：'分表4-电度输配电价'!$C185&amp;'分表4-电度输配电价'!$D178：'分表4-电度输配电价'!$D185,'分表4-电度输配电价'!$E178：'分表4-电度输配电价'!$E185)</f>
      </c>
      <c r="J181" s="34" cm="1">
        <f t="array" ref="J181:J181">_xlfn.XLOOKUP($C$1,'分表4-电度输配电价'!$C178：'分表4-电度输配电价'!$C185&amp;'分表4-电度输配电价'!$D178：'分表4-电度输配电价'!$D185,'分表4-电度输配电价'!$E178：'分表4-电度输配电价'!$E185)</f>
      </c>
      <c r="K181" s="34" cm="1">
        <f t="array" ref="K181:K181">_xlfn.XLOOKUP($C$1,'分表4-电度输配电价'!$C178：'分表4-电度输配电价'!$C185&amp;'分表4-电度输配电价'!$D178：'分表4-电度输配电价'!$D185,'分表4-电度输配电价'!$E178：'分表4-电度输配电价'!$E185)</f>
      </c>
      <c r="L181" s="34" cm="1">
        <f t="array" ref="L181:L181">_xlfn.XLOOKUP($C$1,'分表4-电度输配电价'!$C178：'分表4-电度输配电价'!$C185&amp;'分表4-电度输配电价'!$D178：'分表4-电度输配电价'!$D185,'分表4-电度输配电价'!$E178：'分表4-电度输配电价'!$E185)</f>
      </c>
      <c r="M181" s="34" cm="1">
        <f t="array" ref="M181:M181">_xlfn.XLOOKUP($C$1,'分表4-电度输配电价'!$C178：'分表4-电度输配电价'!$C185&amp;'分表4-电度输配电价'!$D178：'分表4-电度输配电价'!$D185,'分表4-电度输配电价'!$E178：'分表4-电度输配电价'!$E185)</f>
      </c>
      <c r="N181" s="34" cm="1">
        <f t="array" ref="N181:N181">_xlfn.XLOOKUP($C$1,'分表4-电度输配电价'!$C178：'分表4-电度输配电价'!$C185&amp;'分表4-电度输配电价'!$D178：'分表4-电度输配电价'!$D185,'分表4-电度输配电价'!$E178：'分表4-电度输配电价'!$E185)</f>
      </c>
      <c r="O181" s="34" cm="1">
        <f t="array" ref="O181:O181">_xlfn.XLOOKUP($C$1,'分表4-电度输配电价'!$C178：'分表4-电度输配电价'!$C185&amp;'分表4-电度输配电价'!$D178：'分表4-电度输配电价'!$D185,'分表4-电度输配电价'!$E178：'分表4-电度输配电价'!$E185)</f>
      </c>
      <c r="P181" s="34">
        <f>IF(SUM(D181:O181)=0,"0",AVERAGEIF(D181:O181,"&lt;&gt;0",D181:O181))</f>
      </c>
      <c r="Q181" s="38"/>
    </row>
    <row customHeight="true" ht="19" r="182">
      <c r="A182" s="34">
        <v>180</v>
      </c>
      <c r="B182" s="40" t="str">
        <v>青海</v>
      </c>
      <c r="C182" s="39" t="str">
        <v>政府性基金及附加</v>
      </c>
      <c r="D182" s="34" cm="1">
        <f t="array" ref="D182:D182">_xlfn.XLOOKUP($B$182,'分表5-政府性基金及附加'!$B$2：'分表5-政府性基金及附加'!$B$199,'分表5-政府性基金及附加'!$D$2：'分表5-政府性基金及附加'!$D$199)</f>
      </c>
      <c r="E182" s="34" cm="1">
        <f t="array" ref="E182:E182">_xlfn.XLOOKUP($B$182,'分表5-政府性基金及附加'!$B$2：'分表5-政府性基金及附加'!$B$199,'分表5-政府性基金及附加'!$D$2：'分表5-政府性基金及附加'!$D$199)</f>
      </c>
      <c r="F182" s="34" cm="1">
        <f t="array" ref="F182:F182">_xlfn.XLOOKUP($B$182,'分表5-政府性基金及附加'!$B$2：'分表5-政府性基金及附加'!$B$199,'分表5-政府性基金及附加'!$D$2：'分表5-政府性基金及附加'!$D$199)</f>
      </c>
      <c r="G182" s="34" cm="1">
        <f t="array" ref="G182:G182">_xlfn.XLOOKUP($B$182,'分表5-政府性基金及附加'!$B$2：'分表5-政府性基金及附加'!$B$199,'分表5-政府性基金及附加'!$D$2：'分表5-政府性基金及附加'!$D$199)</f>
      </c>
      <c r="H182" s="34" cm="1">
        <f t="array" ref="H182:H182">_xlfn.XLOOKUP($B$182,'分表5-政府性基金及附加'!$B$2：'分表5-政府性基金及附加'!$B$199,'分表5-政府性基金及附加'!$D$2：'分表5-政府性基金及附加'!$D$199)</f>
      </c>
      <c r="I182" s="34" cm="1">
        <f t="array" ref="I182:I182">_xlfn.XLOOKUP($B$182,'分表5-政府性基金及附加'!$B$2：'分表5-政府性基金及附加'!$B$199,'分表5-政府性基金及附加'!$D$2：'分表5-政府性基金及附加'!$D$199)</f>
      </c>
      <c r="J182" s="34" cm="1">
        <f t="array" ref="J182:J182">_xlfn.XLOOKUP($B$182,'分表5-政府性基金及附加'!$B$2：'分表5-政府性基金及附加'!$B$199,'分表5-政府性基金及附加'!$D$2：'分表5-政府性基金及附加'!$D$199)</f>
      </c>
      <c r="K182" s="34" cm="1">
        <f t="array" ref="K182:K182">_xlfn.XLOOKUP($B$182,'分表5-政府性基金及附加'!$B$2：'分表5-政府性基金及附加'!$B$199,'分表5-政府性基金及附加'!$D$2：'分表5-政府性基金及附加'!$D$199)</f>
      </c>
      <c r="L182" s="34" cm="1">
        <f t="array" ref="L182:L182">_xlfn.XLOOKUP($B$182,'分表5-政府性基金及附加'!$B$2：'分表5-政府性基金及附加'!$B$199,'分表5-政府性基金及附加'!$D$2：'分表5-政府性基金及附加'!$D$199)</f>
      </c>
      <c r="M182" s="34" cm="1">
        <f t="array" ref="M182:M182">_xlfn.XLOOKUP($B$182,'分表5-政府性基金及附加'!$B$2：'分表5-政府性基金及附加'!$B$199,'分表5-政府性基金及附加'!$D$2：'分表5-政府性基金及附加'!$D$199)</f>
      </c>
      <c r="N182" s="34" cm="1">
        <f t="array" ref="N182:N182">_xlfn.XLOOKUP($B$182,'分表5-政府性基金及附加'!$B$2：'分表5-政府性基金及附加'!$B$199,'分表5-政府性基金及附加'!$D$2：'分表5-政府性基金及附加'!$D$199)</f>
      </c>
      <c r="O182" s="34" cm="1">
        <f t="array" ref="O182:O182">_xlfn.XLOOKUP($B$182,'分表5-政府性基金及附加'!$B$2：'分表5-政府性基金及附加'!$B$199,'分表5-政府性基金及附加'!$D$2：'分表5-政府性基金及附加'!$D$199)</f>
      </c>
      <c r="P182" s="34">
        <f>IF(SUM(D182:O182)=0,"0",AVERAGEIF(D182:O182,"&lt;&gt;0",D182:O182))</f>
      </c>
      <c r="Q182" s="38"/>
    </row>
    <row r="183">
      <c r="A183" s="34">
        <v>181</v>
      </c>
      <c r="B183" s="40" t="str">
        <v>青海</v>
      </c>
      <c r="C183" s="39" t="str">
        <v>系统运行费折价</v>
      </c>
      <c r="D183" s="34">
        <f>'分表8-2025三类细分价'!D471</f>
      </c>
      <c r="E183" s="34">
        <f>'分表8-2025三类细分价'!E471</f>
      </c>
      <c r="F183" s="34">
        <f>'分表8-2025三类细分价'!F471</f>
      </c>
      <c r="G183" s="34">
        <f>'分表8-2025三类细分价'!G471</f>
      </c>
      <c r="H183" s="34">
        <f>'分表8-2025三类细分价'!H471</f>
      </c>
      <c r="I183" s="34">
        <f>'分表8-2025三类细分价'!I471</f>
      </c>
      <c r="J183" s="34">
        <f>'分表8-2025三类细分价'!J471</f>
      </c>
      <c r="K183" s="34">
        <f>'分表8-2025三类细分价'!K471</f>
      </c>
      <c r="L183" s="34">
        <f>'分表8-2025三类细分价'!L471</f>
      </c>
      <c r="M183" s="34">
        <f>'分表8-2025三类细分价'!M471</f>
      </c>
      <c r="N183" s="34">
        <f>'分表8-2025三类细分价'!N471</f>
      </c>
      <c r="O183" s="34">
        <f>'分表8-2025三类细分价'!O471</f>
      </c>
      <c r="P183" s="34">
        <f>IF(SUM(D183:O183)=0,"0",AVERAGEIF(D183:O183,"&lt;&gt;0",D183:O183))</f>
      </c>
      <c r="Q183" s="38"/>
    </row>
    <row r="184">
      <c r="A184" s="34">
        <v>182</v>
      </c>
      <c r="B184" s="40" t="str">
        <v>青海</v>
      </c>
      <c r="C184" s="39" t="str">
        <v>综合平段电价--电网代购</v>
      </c>
      <c r="D184" s="34">
        <f>IF(D181="/","/",SUM(D179:D183))</f>
      </c>
      <c r="E184" s="34">
        <f>IF(E181="/","/",SUM(E179:E183))</f>
      </c>
      <c r="F184" s="34">
        <f>IF(F181="/","/",SUM(F179:F183))</f>
      </c>
      <c r="G184" s="34">
        <f>IF(G181="/","/",SUM(G179:G183))</f>
      </c>
      <c r="H184" s="34">
        <f>IF(H181="/","/",SUM(H179:H183))</f>
      </c>
      <c r="I184" s="34">
        <f>IF(I181="/","/",SUM(I179:I183))</f>
      </c>
      <c r="J184" s="34">
        <f>IF(J181="/","/",SUM(J179:J183))</f>
      </c>
      <c r="K184" s="34">
        <f>IF(K181="/","/",SUM(K179:K183))</f>
      </c>
      <c r="L184" s="34">
        <f>IF(L181="/","/",SUM(L179:L183))</f>
      </c>
      <c r="M184" s="34">
        <f>IF(M181="/","/",SUM(M179:M183))</f>
      </c>
      <c r="N184" s="34">
        <f>IF(N181="/","/",SUM(N179:N183))</f>
      </c>
      <c r="O184" s="34">
        <f>IF(O181="/","/",SUM(O179:O183))</f>
      </c>
      <c r="P184" s="34">
        <f>IF(SUM(D184:O184)=0,"0",AVERAGEIF(D184:O184,"&lt;&gt;0",D184:O184))</f>
      </c>
      <c r="Q184" s="38"/>
    </row>
    <row r="185">
      <c r="A185" s="34">
        <v>183</v>
      </c>
      <c r="B185" s="40" t="str">
        <v>青海</v>
      </c>
      <c r="C185" s="39" t="str">
        <v>入市交易购电价格</v>
      </c>
      <c r="D185" s="34">
        <f>'分表9-2025交易价格'!D24</f>
      </c>
      <c r="E185" s="34">
        <f>'分表9-2025交易价格'!E24</f>
      </c>
      <c r="F185" s="34">
        <f>'分表9-2025交易价格'!F24</f>
      </c>
      <c r="G185" s="34">
        <f>'分表9-2025交易价格'!G24</f>
      </c>
      <c r="H185" s="34">
        <f>'分表9-2025交易价格'!H24</f>
      </c>
      <c r="I185" s="34">
        <f>'分表9-2025交易价格'!I24</f>
      </c>
      <c r="J185" s="34">
        <f>'分表9-2025交易价格'!J24</f>
      </c>
      <c r="K185" s="34">
        <f>'分表9-2025交易价格'!K24</f>
      </c>
      <c r="L185" s="34">
        <f>'分表9-2025交易价格'!L24</f>
      </c>
      <c r="M185" s="34">
        <f>'分表9-2025交易价格'!M24</f>
      </c>
      <c r="N185" s="34">
        <f>'分表9-2025交易价格'!N24</f>
      </c>
      <c r="O185" s="34">
        <f>'分表9-2025交易价格'!O24</f>
      </c>
      <c r="P185" s="34">
        <f>IF(SUM(D185:O185)=0,"0",AVERAGEIF(D185:O185,"&lt;&gt;0",D185:O185))</f>
      </c>
      <c r="Q185" s="38"/>
    </row>
    <row r="186">
      <c r="A186" s="34">
        <v>184</v>
      </c>
      <c r="B186" s="40" t="str">
        <v>青海</v>
      </c>
      <c r="C186" s="39" t="str">
        <v>综合平段电价--入市交易</v>
      </c>
      <c r="D186" s="34">
        <f>IF(D181="/","/",IF(D185&gt;0,D185+SUM(D180:D183),"/"))</f>
      </c>
      <c r="E186" s="34">
        <f>IF(E181="/","/",IF(E185&gt;0,E185+SUM(E180:E183),"/"))</f>
      </c>
      <c r="F186" s="34">
        <f>IF(F181="/","/",IF(F185&gt;0,F185+SUM(F180:F183),"/"))</f>
      </c>
      <c r="G186" s="34">
        <f>IF(G181="/","/",IF(G185&gt;0,G185+SUM(G180:G183),"/"))</f>
      </c>
      <c r="H186" s="34">
        <f>IF(H181="/","/",IF(H185&gt;0,H185+SUM(H180:H183),"/"))</f>
      </c>
      <c r="I186" s="34">
        <f>IF(I181="/","/",IF(I185&gt;0,I185+SUM(I180:I183),"/"))</f>
      </c>
      <c r="J186" s="34">
        <f>IF(J181="/","/",IF(J185&gt;0,J185+SUM(J180:J183),"/"))</f>
      </c>
      <c r="K186" s="34">
        <f>IF(K181="/","/",IF(K185&gt;0,K185+SUM(K180:K183),"/"))</f>
      </c>
      <c r="L186" s="34">
        <f>IF(L181="/","/",IF(L185&gt;0,L185+SUM(L180:L183),"/"))</f>
      </c>
      <c r="M186" s="34">
        <f>IF(M181="/","/",IF(M185&gt;0,M185+SUM(M180:M183),"/"))</f>
      </c>
      <c r="N186" s="34">
        <f>IF(N181="/","/",IF(N185&gt;0,N185+SUM(N180:N183),"/"))</f>
      </c>
      <c r="O186" s="34">
        <f>IF(O181="/","/",IF(O185&gt;0,O185+SUM(O180:O183),"/"))</f>
      </c>
      <c r="P186" s="34">
        <f>IF(SUM(D186:O186)=0,"0",AVERAGEIF(D186:O186,"&lt;&gt;0",D186:O186))</f>
      </c>
      <c r="Q186" s="38"/>
    </row>
    <row r="187">
      <c r="A187" s="34">
        <v>185</v>
      </c>
      <c r="B187" s="31" t="str">
        <v>宁夏</v>
      </c>
      <c r="C187" s="37" t="str">
        <v>代理购电价格</v>
      </c>
      <c r="D187" s="41">
        <v>0.2812</v>
      </c>
      <c r="E187" s="41">
        <v>0.3031</v>
      </c>
      <c r="F187" s="41">
        <v>0.2868</v>
      </c>
      <c r="G187" s="41">
        <v>0.2881</v>
      </c>
      <c r="H187" s="41">
        <v>0.2862</v>
      </c>
      <c r="I187" s="41">
        <v>0.2803</v>
      </c>
      <c r="J187" s="41">
        <v>0.2673</v>
      </c>
      <c r="K187" s="41">
        <v>0.2795</v>
      </c>
      <c r="L187" s="41">
        <v>0.2809</v>
      </c>
      <c r="M187" s="41">
        <v>0.2466</v>
      </c>
      <c r="N187" s="41">
        <v>0.2715</v>
      </c>
      <c r="O187" s="41">
        <v>0.2797</v>
      </c>
      <c r="P187" s="36">
        <f>IF(SUM(D187:O187)=0,"0",AVERAGEIF(D187:O187,"&lt;&gt;0",D187:O187))</f>
      </c>
      <c r="Q187" s="35"/>
    </row>
    <row r="188">
      <c r="A188" s="34">
        <v>186</v>
      </c>
      <c r="B188" s="31" t="str">
        <v>宁夏</v>
      </c>
      <c r="C188" s="37" t="str">
        <v>上网环节线损电价</v>
      </c>
      <c r="D188" s="32">
        <f>'分表8-2025三类细分价'!D491</f>
      </c>
      <c r="E188" s="32">
        <f>'分表8-2025三类细分价'!E491</f>
      </c>
      <c r="F188" s="32">
        <f>'分表8-2025三类细分价'!F491</f>
      </c>
      <c r="G188" s="32">
        <f>'分表8-2025三类细分价'!G491</f>
      </c>
      <c r="H188" s="32">
        <f>'分表8-2025三类细分价'!H491</f>
      </c>
      <c r="I188" s="32">
        <f>'分表8-2025三类细分价'!I491</f>
      </c>
      <c r="J188" s="32">
        <f>'分表8-2025三类细分价'!J491</f>
      </c>
      <c r="K188" s="32">
        <f>'分表8-2025三类细分价'!K491</f>
      </c>
      <c r="L188" s="32">
        <f>'分表8-2025三类细分价'!L491</f>
      </c>
      <c r="M188" s="32">
        <f>'分表8-2025三类细分价'!M491</f>
      </c>
      <c r="N188" s="32">
        <f>'分表8-2025三类细分价'!N491</f>
      </c>
      <c r="O188" s="32">
        <f>'分表8-2025三类细分价'!O491</f>
      </c>
      <c r="P188" s="36">
        <f>IF(SUM(D188:O188)=0,"0",AVERAGEIF(D188:O188,"&lt;&gt;0",D188:O188))</f>
      </c>
      <c r="Q188" s="35"/>
    </row>
    <row r="189">
      <c r="A189" s="34">
        <v>187</v>
      </c>
      <c r="B189" s="31" t="str">
        <v>宁夏</v>
      </c>
      <c r="C189" s="37" t="str">
        <v>电度输配电价</v>
      </c>
      <c r="D189" s="36" cm="1">
        <f t="array" ref="D189:D189">_xlfn.XLOOKUP($C$1,'分表4-电度输配电价'!$C186：'分表4-电度输配电价'!$C193&amp;'分表4-电度输配电价'!$D186：'分表4-电度输配电价'!$D193,'分表4-电度输配电价'!$E186：'分表4-电度输配电价'!$E193)</f>
      </c>
      <c r="E189" s="36" cm="1">
        <f t="array" ref="E189:E189">_xlfn.XLOOKUP($C$1,'分表4-电度输配电价'!$C186：'分表4-电度输配电价'!$C193&amp;'分表4-电度输配电价'!$D186：'分表4-电度输配电价'!$D193,'分表4-电度输配电价'!$E186：'分表4-电度输配电价'!$E193)</f>
      </c>
      <c r="F189" s="36" cm="1">
        <f t="array" ref="F189:F189">_xlfn.XLOOKUP($C$1,'分表4-电度输配电价'!$C186：'分表4-电度输配电价'!$C193&amp;'分表4-电度输配电价'!$D186：'分表4-电度输配电价'!$D193,'分表4-电度输配电价'!$E186：'分表4-电度输配电价'!$E193)</f>
      </c>
      <c r="G189" s="36" cm="1">
        <f t="array" ref="G189:G189">_xlfn.XLOOKUP($C$1,'分表4-电度输配电价'!$C186：'分表4-电度输配电价'!$C193&amp;'分表4-电度输配电价'!$D186：'分表4-电度输配电价'!$D193,'分表4-电度输配电价'!$E186：'分表4-电度输配电价'!$E193)</f>
      </c>
      <c r="H189" s="36" cm="1">
        <f t="array" ref="H189:H189">_xlfn.XLOOKUP($C$1,'分表4-电度输配电价'!$C186：'分表4-电度输配电价'!$C193&amp;'分表4-电度输配电价'!$D186：'分表4-电度输配电价'!$D193,'分表4-电度输配电价'!$E186：'分表4-电度输配电价'!$E193)</f>
      </c>
      <c r="I189" s="36" cm="1">
        <f t="array" ref="I189:I189">_xlfn.XLOOKUP($C$1,'分表4-电度输配电价'!$C186：'分表4-电度输配电价'!$C193&amp;'分表4-电度输配电价'!$D186：'分表4-电度输配电价'!$D193,'分表4-电度输配电价'!$E186：'分表4-电度输配电价'!$E193)</f>
      </c>
      <c r="J189" s="36" cm="1">
        <f t="array" ref="J189:J189">_xlfn.XLOOKUP($C$1,'分表4-电度输配电价'!$C186：'分表4-电度输配电价'!$C193&amp;'分表4-电度输配电价'!$D186：'分表4-电度输配电价'!$D193,'分表4-电度输配电价'!$E186：'分表4-电度输配电价'!$E193)</f>
      </c>
      <c r="K189" s="36" cm="1">
        <f t="array" ref="K189:K189">_xlfn.XLOOKUP($C$1,'分表4-电度输配电价'!$C186：'分表4-电度输配电价'!$C193&amp;'分表4-电度输配电价'!$D186：'分表4-电度输配电价'!$D193,'分表4-电度输配电价'!$E186：'分表4-电度输配电价'!$E193)</f>
      </c>
      <c r="L189" s="36" cm="1">
        <f t="array" ref="L189:L189">_xlfn.XLOOKUP($C$1,'分表4-电度输配电价'!$C186：'分表4-电度输配电价'!$C193&amp;'分表4-电度输配电价'!$D186：'分表4-电度输配电价'!$D193,'分表4-电度输配电价'!$E186：'分表4-电度输配电价'!$E193)</f>
      </c>
      <c r="M189" s="36" cm="1">
        <f t="array" ref="M189:M189">_xlfn.XLOOKUP($C$1,'分表4-电度输配电价'!$C186：'分表4-电度输配电价'!$C193&amp;'分表4-电度输配电价'!$D186：'分表4-电度输配电价'!$D193,'分表4-电度输配电价'!$E186：'分表4-电度输配电价'!$E193)</f>
      </c>
      <c r="N189" s="36" cm="1">
        <f t="array" ref="N189:N189">_xlfn.XLOOKUP($C$1,'分表4-电度输配电价'!$C186：'分表4-电度输配电价'!$C193&amp;'分表4-电度输配电价'!$D186：'分表4-电度输配电价'!$D193,'分表4-电度输配电价'!$E186：'分表4-电度输配电价'!$E193)</f>
      </c>
      <c r="O189" s="36" cm="1">
        <f t="array" ref="O189:O189">_xlfn.XLOOKUP($C$1,'分表4-电度输配电价'!$C186：'分表4-电度输配电价'!$C193&amp;'分表4-电度输配电价'!$D186：'分表4-电度输配电价'!$D193,'分表4-电度输配电价'!$E186：'分表4-电度输配电价'!$E193)</f>
      </c>
      <c r="P189" s="36">
        <f>IF(SUM(D189:O189)=0,"0",AVERAGEIF(D189:O189,"&lt;&gt;0",D189:O189))</f>
      </c>
      <c r="Q189" s="35"/>
    </row>
    <row r="190">
      <c r="A190" s="34">
        <v>188</v>
      </c>
      <c r="B190" s="31" t="str">
        <v>宁夏</v>
      </c>
      <c r="C190" s="37" t="str">
        <v>政府性基金及附加</v>
      </c>
      <c r="D190" s="36" cm="1">
        <f t="array" ref="D190:D190">_xlfn.XLOOKUP($B$190,'分表5-政府性基金及附加'!$B$2：'分表5-政府性基金及附加'!$B$199,'分表5-政府性基金及附加'!$D$2：'分表5-政府性基金及附加'!$D$199)</f>
      </c>
      <c r="E190" s="36" cm="1">
        <f t="array" ref="E190:E190">_xlfn.XLOOKUP($B$190,'分表5-政府性基金及附加'!$B$2：'分表5-政府性基金及附加'!$B$199,'分表5-政府性基金及附加'!$D$2：'分表5-政府性基金及附加'!$D$199)</f>
      </c>
      <c r="F190" s="36" cm="1">
        <f t="array" ref="F190:F190">_xlfn.XLOOKUP($B$190,'分表5-政府性基金及附加'!$B$2：'分表5-政府性基金及附加'!$B$199,'分表5-政府性基金及附加'!$D$2：'分表5-政府性基金及附加'!$D$199)</f>
      </c>
      <c r="G190" s="36" cm="1">
        <f t="array" ref="G190:G190">_xlfn.XLOOKUP($B$190,'分表5-政府性基金及附加'!$B$2：'分表5-政府性基金及附加'!$B$199,'分表5-政府性基金及附加'!$D$2：'分表5-政府性基金及附加'!$D$199)</f>
      </c>
      <c r="H190" s="36" cm="1">
        <f t="array" ref="H190:H190">_xlfn.XLOOKUP($B$190,'分表5-政府性基金及附加'!$B$2：'分表5-政府性基金及附加'!$B$199,'分表5-政府性基金及附加'!$D$2：'分表5-政府性基金及附加'!$D$199)</f>
      </c>
      <c r="I190" s="36" cm="1">
        <f t="array" ref="I190:I190">_xlfn.XLOOKUP($B$190,'分表5-政府性基金及附加'!$B$2：'分表5-政府性基金及附加'!$B$199,'分表5-政府性基金及附加'!$D$2：'分表5-政府性基金及附加'!$D$199)</f>
      </c>
      <c r="J190" s="36" cm="1">
        <f t="array" ref="J190:J190">_xlfn.XLOOKUP($B$190,'分表5-政府性基金及附加'!$B$2：'分表5-政府性基金及附加'!$B$199,'分表5-政府性基金及附加'!$D$2：'分表5-政府性基金及附加'!$D$199)</f>
      </c>
      <c r="K190" s="36" cm="1">
        <f t="array" ref="K190:K190">_xlfn.XLOOKUP($B$190,'分表5-政府性基金及附加'!$B$2：'分表5-政府性基金及附加'!$B$199,'分表5-政府性基金及附加'!$D$2：'分表5-政府性基金及附加'!$D$199)</f>
      </c>
      <c r="L190" s="36" cm="1">
        <f t="array" ref="L190:L190">_xlfn.XLOOKUP($B$190,'分表5-政府性基金及附加'!$B$2：'分表5-政府性基金及附加'!$B$199,'分表5-政府性基金及附加'!$D$2：'分表5-政府性基金及附加'!$D$199)</f>
      </c>
      <c r="M190" s="36" cm="1">
        <f t="array" ref="M190:M190">_xlfn.XLOOKUP($B$190,'分表5-政府性基金及附加'!$B$2：'分表5-政府性基金及附加'!$B$199,'分表5-政府性基金及附加'!$D$2：'分表5-政府性基金及附加'!$D$199)</f>
      </c>
      <c r="N190" s="36" cm="1">
        <f t="array" ref="N190:N190">_xlfn.XLOOKUP($B$190,'分表5-政府性基金及附加'!$B$2：'分表5-政府性基金及附加'!$B$199,'分表5-政府性基金及附加'!$D$2：'分表5-政府性基金及附加'!$D$199)</f>
      </c>
      <c r="O190" s="36" cm="1">
        <f t="array" ref="O190:O190">_xlfn.XLOOKUP($B$190,'分表5-政府性基金及附加'!$B$2：'分表5-政府性基金及附加'!$B$199,'分表5-政府性基金及附加'!$D$2：'分表5-政府性基金及附加'!$D$199)</f>
      </c>
      <c r="P190" s="36">
        <f>IF(SUM(D190:O190)=0,"0",AVERAGEIF(D190:O190,"&lt;&gt;0",D190:O190))</f>
      </c>
      <c r="Q190" s="35"/>
    </row>
    <row r="191">
      <c r="A191" s="34">
        <v>189</v>
      </c>
      <c r="B191" s="31" t="str">
        <v>宁夏</v>
      </c>
      <c r="C191" s="37" t="str">
        <v>系统运行费折价</v>
      </c>
      <c r="D191" s="32">
        <f>'分表8-2025三类细分价'!D492</f>
      </c>
      <c r="E191" s="32">
        <f>'分表8-2025三类细分价'!E492</f>
      </c>
      <c r="F191" s="32">
        <f>'分表8-2025三类细分价'!F492</f>
      </c>
      <c r="G191" s="32">
        <f>'分表8-2025三类细分价'!G492</f>
      </c>
      <c r="H191" s="32">
        <f>'分表8-2025三类细分价'!H492</f>
      </c>
      <c r="I191" s="32">
        <f>'分表8-2025三类细分价'!I492</f>
      </c>
      <c r="J191" s="32">
        <f>'分表8-2025三类细分价'!J492</f>
      </c>
      <c r="K191" s="32">
        <f>'分表8-2025三类细分价'!K492</f>
      </c>
      <c r="L191" s="32">
        <f>'分表8-2025三类细分价'!L492</f>
      </c>
      <c r="M191" s="32">
        <f>'分表8-2025三类细分价'!M492</f>
      </c>
      <c r="N191" s="32">
        <f>'分表8-2025三类细分价'!N492</f>
      </c>
      <c r="O191" s="32">
        <f>'分表8-2025三类细分价'!O492</f>
      </c>
      <c r="P191" s="36">
        <f>IF(SUM(D191:O191)=0,"0",AVERAGEIF(D191:O191,"&lt;&gt;0",D191:O191))</f>
      </c>
      <c r="Q191" s="35"/>
    </row>
    <row r="192">
      <c r="A192" s="34">
        <v>190</v>
      </c>
      <c r="B192" s="31" t="str">
        <v>宁夏</v>
      </c>
      <c r="C192" s="37" t="str">
        <v>综合平段电价--电网代购</v>
      </c>
      <c r="D192" s="36">
        <f>IF(D189="/","/",SUM(D187:D191))</f>
      </c>
      <c r="E192" s="36">
        <f>IF(E189="/","/",SUM(E187:E191))</f>
      </c>
      <c r="F192" s="36">
        <f>IF(F189="/","/",SUM(F187:F191))</f>
      </c>
      <c r="G192" s="36">
        <f>IF(G189="/","/",SUM(G187:G191))</f>
      </c>
      <c r="H192" s="36">
        <f>IF(H189="/","/",SUM(H187:H191))</f>
      </c>
      <c r="I192" s="36">
        <f>IF(I189="/","/",SUM(I187:I191))</f>
      </c>
      <c r="J192" s="36">
        <f>IF(J189="/","/",SUM(J187:J191))</f>
      </c>
      <c r="K192" s="36">
        <f>IF(K189="/","/",SUM(K187:K191))</f>
      </c>
      <c r="L192" s="36">
        <f>IF(L189="/","/",SUM(L187:L191))</f>
      </c>
      <c r="M192" s="36">
        <f>IF(M189="/","/",SUM(M187:M191))</f>
      </c>
      <c r="N192" s="36">
        <f>IF(N189="/","/",SUM(N187:N191))</f>
      </c>
      <c r="O192" s="36">
        <f>IF(O189="/","/",SUM(O187:O191))</f>
      </c>
      <c r="P192" s="36">
        <f>IF(SUM(D192:O192)=0,"0",AVERAGEIF(D192:O192,"&lt;&gt;0",D192:O192))</f>
      </c>
      <c r="Q192" s="35"/>
    </row>
    <row r="193">
      <c r="A193" s="34">
        <v>191</v>
      </c>
      <c r="B193" s="31" t="str">
        <v>宁夏</v>
      </c>
      <c r="C193" s="37" t="str">
        <v>入市交易购电价格</v>
      </c>
      <c r="D193" s="32">
        <f>'分表9-2025交易价格'!D25</f>
      </c>
      <c r="E193" s="32">
        <f>'分表9-2025交易价格'!E25</f>
      </c>
      <c r="F193" s="32">
        <f>'分表9-2025交易价格'!F25</f>
      </c>
      <c r="G193" s="32">
        <f>'分表9-2025交易价格'!G25</f>
      </c>
      <c r="H193" s="32">
        <f>'分表9-2025交易价格'!H25</f>
      </c>
      <c r="I193" s="32">
        <f>'分表9-2025交易价格'!I25</f>
      </c>
      <c r="J193" s="32">
        <f>'分表9-2025交易价格'!J25</f>
      </c>
      <c r="K193" s="32">
        <f>'分表9-2025交易价格'!K25</f>
      </c>
      <c r="L193" s="32">
        <f>'分表9-2025交易价格'!L25</f>
      </c>
      <c r="M193" s="32">
        <f>'分表9-2025交易价格'!M25</f>
      </c>
      <c r="N193" s="32">
        <f>'分表9-2025交易价格'!N25</f>
      </c>
      <c r="O193" s="32">
        <f>'分表9-2025交易价格'!O25</f>
      </c>
      <c r="P193" s="36">
        <f>IF(SUM(D193:O193)=0,"0",AVERAGEIF(D193:O193,"&lt;&gt;0",D193:O193))</f>
      </c>
      <c r="Q193" s="35"/>
    </row>
    <row r="194">
      <c r="A194" s="34">
        <v>192</v>
      </c>
      <c r="B194" s="31" t="str">
        <v>宁夏</v>
      </c>
      <c r="C194" s="37" t="str">
        <v>综合平段电价--入市交易</v>
      </c>
      <c r="D194" s="36">
        <f>IF(D189="/","/",IF(D193&gt;0,D193+SUM(D188:D191),"/"))</f>
      </c>
      <c r="E194" s="36">
        <f>IF(E189="/","/",IF(E193&gt;0,E193+SUM(E188:E191),"/"))</f>
      </c>
      <c r="F194" s="36">
        <f>IF(F189="/","/",IF(F193&gt;0,F193+SUM(F188:F191),"/"))</f>
      </c>
      <c r="G194" s="36">
        <f>IF(G189="/","/",IF(G193&gt;0,G193+SUM(G188:G191),"/"))</f>
      </c>
      <c r="H194" s="36">
        <f>IF(H189="/","/",IF(H193&gt;0,H193+SUM(H188:H191),"/"))</f>
      </c>
      <c r="I194" s="36">
        <f>IF(I189="/","/",IF(I193&gt;0,I193+SUM(I188:I191),"/"))</f>
      </c>
      <c r="J194" s="36">
        <f>IF(J189="/","/",IF(J193&gt;0,J193+SUM(J188:J191),"/"))</f>
      </c>
      <c r="K194" s="36">
        <f>IF(K189="/","/",IF(K193&gt;0,K193+SUM(K188:K191),"/"))</f>
      </c>
      <c r="L194" s="36">
        <f>IF(L189="/","/",IF(L193&gt;0,L193+SUM(L188:L191),"/"))</f>
      </c>
      <c r="M194" s="36">
        <f>IF(M189="/","/",IF(M193&gt;0,M193+SUM(M188:M191),"/"))</f>
      </c>
      <c r="N194" s="36">
        <f>IF(N189="/","/",IF(N193&gt;0,N193+SUM(N188:N191),"/"))</f>
      </c>
      <c r="O194" s="36">
        <f>IF(O189="/","/",IF(O193&gt;0,O193+SUM(O188:O191),"/"))</f>
      </c>
      <c r="P194" s="36">
        <f>IF(SUM(D194:O194)=0,"0",AVERAGEIF(D194:O194,"&lt;&gt;0",D194:O194))</f>
      </c>
      <c r="Q194" s="35"/>
    </row>
    <row r="195">
      <c r="A195" s="34">
        <v>193</v>
      </c>
      <c r="B195" s="40" t="str">
        <v>新疆</v>
      </c>
      <c r="C195" s="39" t="str">
        <v>代理购电价格</v>
      </c>
      <c r="D195" s="41">
        <v>0.250834</v>
      </c>
      <c r="E195" s="41">
        <v>0.228897</v>
      </c>
      <c r="F195" s="41">
        <v>0.261591</v>
      </c>
      <c r="G195" s="41">
        <v>0.262342</v>
      </c>
      <c r="H195" s="41">
        <v>0.246932</v>
      </c>
      <c r="I195" s="41">
        <v>0.269501</v>
      </c>
      <c r="J195" s="41">
        <v>0.258873</v>
      </c>
      <c r="K195" s="41">
        <v>0.269257</v>
      </c>
      <c r="L195" s="41">
        <v>0.273205</v>
      </c>
      <c r="M195" s="41">
        <v>0.273133</v>
      </c>
      <c r="N195" s="41">
        <v>0.265725</v>
      </c>
      <c r="O195" s="41">
        <v>0.269017</v>
      </c>
      <c r="P195" s="34">
        <f>IF(SUM(D195:O195)=0,"0",AVERAGEIF(D195:O195,"&lt;&gt;0",D195:O195))</f>
      </c>
      <c r="Q195" s="38"/>
    </row>
    <row r="196">
      <c r="A196" s="34">
        <v>194</v>
      </c>
      <c r="B196" s="40" t="str">
        <v>新疆</v>
      </c>
      <c r="C196" s="39" t="str">
        <v>上网环节线损电价</v>
      </c>
      <c r="D196" s="34">
        <f>'分表8-2025三类细分价'!D512</f>
      </c>
      <c r="E196" s="34">
        <f>'分表8-2025三类细分价'!E512</f>
      </c>
      <c r="F196" s="34">
        <f>'分表8-2025三类细分价'!F512</f>
      </c>
      <c r="G196" s="34">
        <f>'分表8-2025三类细分价'!G512</f>
      </c>
      <c r="H196" s="34">
        <f>'分表8-2025三类细分价'!H512</f>
      </c>
      <c r="I196" s="34">
        <f>'分表8-2025三类细分价'!I512</f>
      </c>
      <c r="J196" s="34">
        <f>'分表8-2025三类细分价'!J512</f>
      </c>
      <c r="K196" s="34">
        <f>'分表8-2025三类细分价'!K512</f>
      </c>
      <c r="L196" s="34">
        <f>'分表8-2025三类细分价'!L512</f>
      </c>
      <c r="M196" s="34">
        <f>'分表8-2025三类细分价'!M512</f>
      </c>
      <c r="N196" s="34">
        <f>'分表8-2025三类细分价'!N512</f>
      </c>
      <c r="O196" s="34">
        <f>'分表8-2025三类细分价'!O512</f>
      </c>
      <c r="P196" s="34">
        <f>IF(SUM(D196:O196)=0,"0",AVERAGEIF(D196:O196,"&lt;&gt;0",D196:O196))</f>
      </c>
      <c r="Q196" s="38"/>
    </row>
    <row r="197">
      <c r="A197" s="34">
        <v>195</v>
      </c>
      <c r="B197" s="40" t="str">
        <v>新疆</v>
      </c>
      <c r="C197" s="39" t="str">
        <v>电度输配电价</v>
      </c>
      <c r="D197" s="34" cm="1">
        <f t="array" ref="D197:D197">_xlfn.XLOOKUP($C$1,'分表4-电度输配电价'!$C194：'分表4-电度输配电价'!$C201&amp;'分表4-电度输配电价'!$D194：'分表4-电度输配电价'!$D201,'分表4-电度输配电价'!$E194：'分表4-电度输配电价'!$E201)</f>
      </c>
      <c r="E197" s="34" cm="1">
        <f t="array" ref="E197:E197">_xlfn.XLOOKUP($C$1,'分表4-电度输配电价'!$C194：'分表4-电度输配电价'!$C201&amp;'分表4-电度输配电价'!$D194：'分表4-电度输配电价'!$D201,'分表4-电度输配电价'!$E194：'分表4-电度输配电价'!$E201)</f>
      </c>
      <c r="F197" s="34" cm="1">
        <f t="array" ref="F197:F197">_xlfn.XLOOKUP($C$1,'分表4-电度输配电价'!$C194：'分表4-电度输配电价'!$C201&amp;'分表4-电度输配电价'!$D194：'分表4-电度输配电价'!$D201,'分表4-电度输配电价'!$E194：'分表4-电度输配电价'!$E201)</f>
      </c>
      <c r="G197" s="34" cm="1">
        <f t="array" ref="G197:G197">_xlfn.XLOOKUP($C$1,'分表4-电度输配电价'!$C194：'分表4-电度输配电价'!$C201&amp;'分表4-电度输配电价'!$D194：'分表4-电度输配电价'!$D201,'分表4-电度输配电价'!$E194：'分表4-电度输配电价'!$E201)</f>
      </c>
      <c r="H197" s="34" cm="1">
        <f t="array" ref="H197:H197">_xlfn.XLOOKUP($C$1,'分表4-电度输配电价'!$C194：'分表4-电度输配电价'!$C201&amp;'分表4-电度输配电价'!$D194：'分表4-电度输配电价'!$D201,'分表4-电度输配电价'!$E194：'分表4-电度输配电价'!$E201)</f>
      </c>
      <c r="I197" s="34" cm="1">
        <f t="array" ref="I197:I197">_xlfn.XLOOKUP($C$1,'分表4-电度输配电价'!$C194：'分表4-电度输配电价'!$C201&amp;'分表4-电度输配电价'!$D194：'分表4-电度输配电价'!$D201,'分表4-电度输配电价'!$E194：'分表4-电度输配电价'!$E201)</f>
      </c>
      <c r="J197" s="34" cm="1">
        <f t="array" ref="J197:J197">_xlfn.XLOOKUP($C$1,'分表4-电度输配电价'!$C194：'分表4-电度输配电价'!$C201&amp;'分表4-电度输配电价'!$D194：'分表4-电度输配电价'!$D201,'分表4-电度输配电价'!$E194：'分表4-电度输配电价'!$E201)</f>
      </c>
      <c r="K197" s="34" cm="1">
        <f t="array" ref="K197:K197">_xlfn.XLOOKUP($C$1,'分表4-电度输配电价'!$C194：'分表4-电度输配电价'!$C201&amp;'分表4-电度输配电价'!$D194：'分表4-电度输配电价'!$D201,'分表4-电度输配电价'!$E194：'分表4-电度输配电价'!$E201)</f>
      </c>
      <c r="L197" s="34" cm="1">
        <f t="array" ref="L197:L197">_xlfn.XLOOKUP($C$1,'分表4-电度输配电价'!$C194：'分表4-电度输配电价'!$C201&amp;'分表4-电度输配电价'!$D194：'分表4-电度输配电价'!$D201,'分表4-电度输配电价'!$E194：'分表4-电度输配电价'!$E201)</f>
      </c>
      <c r="M197" s="34" cm="1">
        <f t="array" ref="M197:M197">_xlfn.XLOOKUP($C$1,'分表4-电度输配电价'!$C194：'分表4-电度输配电价'!$C201&amp;'分表4-电度输配电价'!$D194：'分表4-电度输配电价'!$D201,'分表4-电度输配电价'!$E194：'分表4-电度输配电价'!$E201)</f>
      </c>
      <c r="N197" s="34" cm="1">
        <f t="array" ref="N197:N197">_xlfn.XLOOKUP($C$1,'分表4-电度输配电价'!$C194：'分表4-电度输配电价'!$C201&amp;'分表4-电度输配电价'!$D194：'分表4-电度输配电价'!$D201,'分表4-电度输配电价'!$E194：'分表4-电度输配电价'!$E201)</f>
      </c>
      <c r="O197" s="34" cm="1">
        <f t="array" ref="O197:O197">_xlfn.XLOOKUP($C$1,'分表4-电度输配电价'!$C194：'分表4-电度输配电价'!$C201&amp;'分表4-电度输配电价'!$D194：'分表4-电度输配电价'!$D201,'分表4-电度输配电价'!$E194：'分表4-电度输配电价'!$E201)</f>
      </c>
      <c r="P197" s="34">
        <f>IF(SUM(D197:O197)=0,"0",AVERAGEIF(D197:O197,"&lt;&gt;0",D197:O197))</f>
      </c>
      <c r="Q197" s="38"/>
    </row>
    <row r="198">
      <c r="A198" s="34">
        <v>196</v>
      </c>
      <c r="B198" s="40" t="str">
        <v>新疆</v>
      </c>
      <c r="C198" s="39" t="str">
        <v>政府性基金及附加</v>
      </c>
      <c r="D198" s="34" cm="1">
        <f t="array" ref="D198:D198">_xlfn.XLOOKUP($B$198,'分表5-政府性基金及附加'!$B$2：'分表5-政府性基金及附加'!$B$199,'分表5-政府性基金及附加'!$D$2：'分表5-政府性基金及附加'!$D$199)</f>
      </c>
      <c r="E198" s="34" cm="1">
        <f t="array" ref="E198:E198">_xlfn.XLOOKUP($B$198,'分表5-政府性基金及附加'!$B$2：'分表5-政府性基金及附加'!$B$199,'分表5-政府性基金及附加'!$D$2：'分表5-政府性基金及附加'!$D$199)</f>
      </c>
      <c r="F198" s="34" cm="1">
        <f t="array" ref="F198:F198">_xlfn.XLOOKUP($B$198,'分表5-政府性基金及附加'!$B$2：'分表5-政府性基金及附加'!$B$199,'分表5-政府性基金及附加'!$D$2：'分表5-政府性基金及附加'!$D$199)</f>
      </c>
      <c r="G198" s="34" cm="1">
        <f t="array" ref="G198:G198">_xlfn.XLOOKUP($B$198,'分表5-政府性基金及附加'!$B$2：'分表5-政府性基金及附加'!$B$199,'分表5-政府性基金及附加'!$D$2：'分表5-政府性基金及附加'!$D$199)</f>
      </c>
      <c r="H198" s="34" cm="1">
        <f t="array" ref="H198:H198">_xlfn.XLOOKUP($B$198,'分表5-政府性基金及附加'!$B$2：'分表5-政府性基金及附加'!$B$199,'分表5-政府性基金及附加'!$D$2：'分表5-政府性基金及附加'!$D$199)</f>
      </c>
      <c r="I198" s="34" cm="1">
        <f t="array" ref="I198:I198">_xlfn.XLOOKUP($B$198,'分表5-政府性基金及附加'!$B$2：'分表5-政府性基金及附加'!$B$199,'分表5-政府性基金及附加'!$D$2：'分表5-政府性基金及附加'!$D$199)</f>
      </c>
      <c r="J198" s="34" cm="1">
        <f t="array" ref="J198:J198">_xlfn.XLOOKUP($B$198,'分表5-政府性基金及附加'!$B$2：'分表5-政府性基金及附加'!$B$199,'分表5-政府性基金及附加'!$D$2：'分表5-政府性基金及附加'!$D$199)</f>
      </c>
      <c r="K198" s="34" cm="1">
        <f t="array" ref="K198:K198">_xlfn.XLOOKUP($B$198,'分表5-政府性基金及附加'!$B$2：'分表5-政府性基金及附加'!$B$199,'分表5-政府性基金及附加'!$D$2：'分表5-政府性基金及附加'!$D$199)</f>
      </c>
      <c r="L198" s="34" cm="1">
        <f t="array" ref="L198:L198">_xlfn.XLOOKUP($B$198,'分表5-政府性基金及附加'!$B$2：'分表5-政府性基金及附加'!$B$199,'分表5-政府性基金及附加'!$D$2：'分表5-政府性基金及附加'!$D$199)</f>
      </c>
      <c r="M198" s="34" cm="1">
        <f t="array" ref="M198:M198">_xlfn.XLOOKUP($B$198,'分表5-政府性基金及附加'!$B$2：'分表5-政府性基金及附加'!$B$199,'分表5-政府性基金及附加'!$D$2：'分表5-政府性基金及附加'!$D$199)</f>
      </c>
      <c r="N198" s="34" cm="1">
        <f t="array" ref="N198:N198">_xlfn.XLOOKUP($B$198,'分表5-政府性基金及附加'!$B$2：'分表5-政府性基金及附加'!$B$199,'分表5-政府性基金及附加'!$D$2：'分表5-政府性基金及附加'!$D$199)</f>
      </c>
      <c r="O198" s="34" cm="1">
        <f t="array" ref="O198:O198">_xlfn.XLOOKUP($B$198,'分表5-政府性基金及附加'!$B$2：'分表5-政府性基金及附加'!$B$199,'分表5-政府性基金及附加'!$D$2：'分表5-政府性基金及附加'!$D$199)</f>
      </c>
      <c r="P198" s="34">
        <f>IF(SUM(D198:O198)=0,"0",AVERAGEIF(D198:O198,"&lt;&gt;0",D198:O198))</f>
      </c>
      <c r="Q198" s="38"/>
    </row>
    <row r="199">
      <c r="A199" s="34">
        <v>197</v>
      </c>
      <c r="B199" s="40" t="str">
        <v>新疆</v>
      </c>
      <c r="C199" s="39" t="str">
        <v>系统运行费折价</v>
      </c>
      <c r="D199" s="34">
        <f>'分表8-2025三类细分价'!D513</f>
      </c>
      <c r="E199" s="34">
        <f>'分表8-2025三类细分价'!E513</f>
      </c>
      <c r="F199" s="34">
        <f>'分表8-2025三类细分价'!F513</f>
      </c>
      <c r="G199" s="34">
        <f>'分表8-2025三类细分价'!G513</f>
      </c>
      <c r="H199" s="34">
        <f>'分表8-2025三类细分价'!H513</f>
      </c>
      <c r="I199" s="34">
        <f>'分表8-2025三类细分价'!I513</f>
      </c>
      <c r="J199" s="34">
        <f>'分表8-2025三类细分价'!J513</f>
      </c>
      <c r="K199" s="34">
        <f>'分表8-2025三类细分价'!K513</f>
      </c>
      <c r="L199" s="34">
        <f>'分表8-2025三类细分价'!L513</f>
      </c>
      <c r="M199" s="34">
        <f>'分表8-2025三类细分价'!M513</f>
      </c>
      <c r="N199" s="34">
        <f>'分表8-2025三类细分价'!N513</f>
      </c>
      <c r="O199" s="34">
        <f>'分表8-2025三类细分价'!O513</f>
      </c>
      <c r="P199" s="34">
        <f>IF(SUM(D199:O199)=0,"0",AVERAGEIF(D199:O199,"&lt;&gt;0",D199:O199))</f>
      </c>
      <c r="Q199" s="38"/>
    </row>
    <row r="200">
      <c r="A200" s="34">
        <v>198</v>
      </c>
      <c r="B200" s="40" t="str">
        <v>新疆</v>
      </c>
      <c r="C200" s="39" t="str">
        <v>综合平段电价--电网代购</v>
      </c>
      <c r="D200" s="34">
        <f>IF(D197="/","/",SUM(D195:D199))</f>
      </c>
      <c r="E200" s="34">
        <f>IF(E197="/","/",SUM(E195:E199))</f>
      </c>
      <c r="F200" s="34">
        <f>IF(F197="/","/",SUM(F195:F199))</f>
      </c>
      <c r="G200" s="34">
        <f>IF(G197="/","/",SUM(G195:G199))</f>
      </c>
      <c r="H200" s="34">
        <f>IF(H197="/","/",SUM(H195:H199))</f>
      </c>
      <c r="I200" s="34">
        <f>IF(I197="/","/",SUM(I195:I199))</f>
      </c>
      <c r="J200" s="34">
        <f>IF(J197="/","/",SUM(J195:J199))</f>
      </c>
      <c r="K200" s="34">
        <f>IF(K197="/","/",SUM(K195:K199))</f>
      </c>
      <c r="L200" s="34">
        <f>IF(L197="/","/",SUM(L195:L199))</f>
      </c>
      <c r="M200" s="34">
        <f>IF(M197="/","/",SUM(M195:M199))</f>
      </c>
      <c r="N200" s="34">
        <f>IF(N197="/","/",SUM(N195:N199))</f>
      </c>
      <c r="O200" s="34">
        <f>IF(O197="/","/",SUM(O195:O199))</f>
      </c>
      <c r="P200" s="34">
        <f>IF(SUM(D200:O200)=0,"0",AVERAGEIF(D200:O200,"&lt;&gt;0",D200:O200))</f>
      </c>
      <c r="Q200" s="38"/>
    </row>
    <row r="201">
      <c r="A201" s="34">
        <v>199</v>
      </c>
      <c r="B201" s="40" t="str">
        <v>新疆</v>
      </c>
      <c r="C201" s="39" t="str">
        <v>入市交易购电价格</v>
      </c>
      <c r="D201" s="34">
        <f>'分表9-2025交易价格'!D26</f>
      </c>
      <c r="E201" s="34">
        <f>'分表9-2025交易价格'!E26</f>
      </c>
      <c r="F201" s="34">
        <f>'分表9-2025交易价格'!F26</f>
      </c>
      <c r="G201" s="34">
        <f>'分表9-2025交易价格'!G26</f>
      </c>
      <c r="H201" s="34">
        <f>'分表9-2025交易价格'!H26</f>
      </c>
      <c r="I201" s="34">
        <f>'分表9-2025交易价格'!I26</f>
      </c>
      <c r="J201" s="34">
        <f>'分表9-2025交易价格'!J26</f>
      </c>
      <c r="K201" s="34">
        <f>'分表9-2025交易价格'!K26</f>
      </c>
      <c r="L201" s="34">
        <f>'分表9-2025交易价格'!L26</f>
      </c>
      <c r="M201" s="34">
        <f>'分表9-2025交易价格'!M26</f>
      </c>
      <c r="N201" s="34">
        <f>'分表9-2025交易价格'!N26</f>
      </c>
      <c r="O201" s="34">
        <f>'分表9-2025交易价格'!O26</f>
      </c>
      <c r="P201" s="34">
        <f>IF(SUM(D201:O201)=0,"0",AVERAGEIF(D201:O201,"&lt;&gt;0",D201:O201))</f>
      </c>
      <c r="Q201" s="38"/>
    </row>
    <row r="202">
      <c r="A202" s="34">
        <v>200</v>
      </c>
      <c r="B202" s="40" t="str">
        <v>新疆</v>
      </c>
      <c r="C202" s="39" t="str">
        <v>综合平段电价--入市交易</v>
      </c>
      <c r="D202" s="34">
        <f>IF(D197="/","/",IF(D201&gt;0,D201+SUM(D196:D199),"/"))</f>
      </c>
      <c r="E202" s="34">
        <f>IF(E197="/","/",IF(E201&gt;0,E201+SUM(E196:E199),"/"))</f>
      </c>
      <c r="F202" s="34">
        <f>IF(F197="/","/",IF(F201&gt;0,F201+SUM(F196:F199),"/"))</f>
      </c>
      <c r="G202" s="34">
        <f>IF(G197="/","/",IF(G201&gt;0,G201+SUM(G196:G199),"/"))</f>
      </c>
      <c r="H202" s="34">
        <f>IF(H197="/","/",IF(H201&gt;0,H201+SUM(H196:H199),"/"))</f>
      </c>
      <c r="I202" s="34">
        <f>IF(I197="/","/",IF(I201&gt;0,I201+SUM(I196:I199),"/"))</f>
      </c>
      <c r="J202" s="34">
        <f>IF(J197="/","/",IF(J201&gt;0,J201+SUM(J196:J199),"/"))</f>
      </c>
      <c r="K202" s="34">
        <f>IF(K197="/","/",IF(K201&gt;0,K201+SUM(K196:K199),"/"))</f>
      </c>
      <c r="L202" s="34">
        <f>IF(L197="/","/",IF(L201&gt;0,L201+SUM(L196:L199),"/"))</f>
      </c>
      <c r="M202" s="34">
        <f>IF(M197="/","/",IF(M201&gt;0,M201+SUM(M196:M199),"/"))</f>
      </c>
      <c r="N202" s="34">
        <f>IF(N197="/","/",IF(N201&gt;0,N201+SUM(N196:N199),"/"))</f>
      </c>
      <c r="O202" s="34">
        <f>IF(O197="/","/",IF(O201&gt;0,O201+SUM(O196:O199),"/"))</f>
      </c>
      <c r="P202" s="34">
        <f>IF(SUM(D202:O202)=0,"0",AVERAGEIF(D202:O202,"&lt;&gt;0",D202:O202))</f>
      </c>
      <c r="Q202" s="38"/>
    </row>
    <row customHeight="true" ht="19" r="203">
      <c r="A203" s="34">
        <v>201</v>
      </c>
      <c r="B203" s="31" t="str">
        <v>重庆</v>
      </c>
      <c r="C203" s="37" t="str">
        <v>代理购电价格</v>
      </c>
      <c r="D203" s="36">
        <f>'分表8-2025三类细分价'!D530</f>
      </c>
      <c r="E203" s="36">
        <f>'分表8-2025三类细分价'!E530</f>
      </c>
      <c r="F203" s="36">
        <f>'分表8-2025三类细分价'!F530</f>
      </c>
      <c r="G203" s="36">
        <f>'分表8-2025三类细分价'!G530</f>
      </c>
      <c r="H203" s="36">
        <f>'分表8-2025三类细分价'!H530</f>
      </c>
      <c r="I203" s="36">
        <f>'分表8-2025三类细分价'!I530</f>
      </c>
      <c r="J203" s="36">
        <f>'分表8-2025三类细分价'!J530</f>
      </c>
      <c r="K203" s="36">
        <f>'分表8-2025三类细分价'!K530</f>
      </c>
      <c r="L203" s="36">
        <f>'分表8-2025三类细分价'!L530</f>
      </c>
      <c r="M203" s="36">
        <f>'分表8-2025三类细分价'!M530</f>
      </c>
      <c r="N203" s="36">
        <f>'分表8-2025三类细分价'!N530</f>
      </c>
      <c r="O203" s="36">
        <f>'分表8-2025三类细分价'!O530</f>
      </c>
      <c r="P203" s="36">
        <f>IF(SUM(D203:O203)=0,"0",AVERAGEIF(D203:O203,"&lt;&gt;0",D203:O203))</f>
      </c>
      <c r="Q203" s="35"/>
    </row>
    <row r="204">
      <c r="A204" s="34">
        <v>202</v>
      </c>
      <c r="B204" s="31" t="str">
        <v>重庆</v>
      </c>
      <c r="C204" s="37" t="str">
        <v>上网环节线损电价</v>
      </c>
      <c r="D204" s="32">
        <f>'分表8-2025三类细分价'!D533</f>
      </c>
      <c r="E204" s="32">
        <f>'分表8-2025三类细分价'!E533</f>
      </c>
      <c r="F204" s="32">
        <f>'分表8-2025三类细分价'!F533</f>
      </c>
      <c r="G204" s="32">
        <f>'分表8-2025三类细分价'!G533</f>
      </c>
      <c r="H204" s="32">
        <f>'分表8-2025三类细分价'!H533</f>
      </c>
      <c r="I204" s="32">
        <f>'分表8-2025三类细分价'!I533</f>
      </c>
      <c r="J204" s="32">
        <f>'分表8-2025三类细分价'!J533</f>
      </c>
      <c r="K204" s="32">
        <f>'分表8-2025三类细分价'!K533</f>
      </c>
      <c r="L204" s="32">
        <f>'分表8-2025三类细分价'!L533</f>
      </c>
      <c r="M204" s="32">
        <f>'分表8-2025三类细分价'!M533</f>
      </c>
      <c r="N204" s="32">
        <f>'分表8-2025三类细分价'!N533</f>
      </c>
      <c r="O204" s="32">
        <f>'分表8-2025三类细分价'!O533</f>
      </c>
      <c r="P204" s="36">
        <f>IF(SUM(D204:O204)=0,"0",AVERAGEIF(D204:O204,"&lt;&gt;0",D204:O204))</f>
      </c>
      <c r="Q204" s="35"/>
    </row>
    <row r="205">
      <c r="A205" s="34">
        <v>203</v>
      </c>
      <c r="B205" s="31" t="str">
        <v>重庆</v>
      </c>
      <c r="C205" s="37" t="str">
        <v>电度输配电价</v>
      </c>
      <c r="D205" s="36" cm="1">
        <f t="array" ref="D205:D205">_xlfn.XLOOKUP($C$1,'分表4-电度输配电价'!$C202：'分表4-电度输配电价'!$C209&amp;'分表4-电度输配电价'!$D202：'分表4-电度输配电价'!$D209,'分表4-电度输配电价'!$E202：'分表4-电度输配电价'!$E209)</f>
      </c>
      <c r="E205" s="36" cm="1">
        <f t="array" ref="E205:E205">_xlfn.XLOOKUP($C$1,'分表4-电度输配电价'!$C202：'分表4-电度输配电价'!$C209&amp;'分表4-电度输配电价'!$D202：'分表4-电度输配电价'!$D209,'分表4-电度输配电价'!$E202：'分表4-电度输配电价'!$E209)</f>
      </c>
      <c r="F205" s="36" cm="1">
        <f t="array" ref="F205:F205">_xlfn.XLOOKUP($C$1,'分表4-电度输配电价'!$C202：'分表4-电度输配电价'!$C209&amp;'分表4-电度输配电价'!$D202：'分表4-电度输配电价'!$D209,'分表4-电度输配电价'!$E202：'分表4-电度输配电价'!$E209)</f>
      </c>
      <c r="G205" s="36" cm="1">
        <f t="array" ref="G205:G205">_xlfn.XLOOKUP($C$1,'分表4-电度输配电价'!$C202：'分表4-电度输配电价'!$C209&amp;'分表4-电度输配电价'!$D202：'分表4-电度输配电价'!$D209,'分表4-电度输配电价'!$E202：'分表4-电度输配电价'!$E209)</f>
      </c>
      <c r="H205" s="36" cm="1">
        <f t="array" ref="H205:H205">_xlfn.XLOOKUP($C$1,'分表4-电度输配电价'!$C202：'分表4-电度输配电价'!$C209&amp;'分表4-电度输配电价'!$D202：'分表4-电度输配电价'!$D209,'分表4-电度输配电价'!$E202：'分表4-电度输配电价'!$E209)</f>
      </c>
      <c r="I205" s="36" cm="1">
        <f t="array" ref="I205:I205">_xlfn.XLOOKUP($C$1,'分表4-电度输配电价'!$C202：'分表4-电度输配电价'!$C209&amp;'分表4-电度输配电价'!$D202：'分表4-电度输配电价'!$D209,'分表4-电度输配电价'!$E202：'分表4-电度输配电价'!$E209)</f>
      </c>
      <c r="J205" s="36" cm="1">
        <f t="array" ref="J205:J205">_xlfn.XLOOKUP($C$1,'分表4-电度输配电价'!$C202：'分表4-电度输配电价'!$C209&amp;'分表4-电度输配电价'!$D202：'分表4-电度输配电价'!$D209,'分表4-电度输配电价'!$E202：'分表4-电度输配电价'!$E209)</f>
      </c>
      <c r="K205" s="36" cm="1">
        <f t="array" ref="K205:K205">_xlfn.XLOOKUP($C$1,'分表4-电度输配电价'!$C202：'分表4-电度输配电价'!$C209&amp;'分表4-电度输配电价'!$D202：'分表4-电度输配电价'!$D209,'分表4-电度输配电价'!$E202：'分表4-电度输配电价'!$E209)</f>
      </c>
      <c r="L205" s="36" cm="1">
        <f t="array" ref="L205:L205">_xlfn.XLOOKUP($C$1,'分表4-电度输配电价'!$C202：'分表4-电度输配电价'!$C209&amp;'分表4-电度输配电价'!$D202：'分表4-电度输配电价'!$D209,'分表4-电度输配电价'!$E202：'分表4-电度输配电价'!$E209)</f>
      </c>
      <c r="M205" s="36" cm="1">
        <f t="array" ref="M205:M205">_xlfn.XLOOKUP($C$1,'分表4-电度输配电价'!$C202：'分表4-电度输配电价'!$C209&amp;'分表4-电度输配电价'!$D202：'分表4-电度输配电价'!$D209,'分表4-电度输配电价'!$E202：'分表4-电度输配电价'!$E209)</f>
      </c>
      <c r="N205" s="36" cm="1">
        <f t="array" ref="N205:N205">_xlfn.XLOOKUP($C$1,'分表4-电度输配电价'!$C202：'分表4-电度输配电价'!$C209&amp;'分表4-电度输配电价'!$D202：'分表4-电度输配电价'!$D209,'分表4-电度输配电价'!$E202：'分表4-电度输配电价'!$E209)</f>
      </c>
      <c r="O205" s="36" cm="1">
        <f t="array" ref="O205:O205">_xlfn.XLOOKUP($C$1,'分表4-电度输配电价'!$C202：'分表4-电度输配电价'!$C209&amp;'分表4-电度输配电价'!$D202：'分表4-电度输配电价'!$D209,'分表4-电度输配电价'!$E202：'分表4-电度输配电价'!$E209)</f>
      </c>
      <c r="P205" s="36">
        <f>IF(SUM(D205:O205)=0,"0",AVERAGEIF(D205:O205,"&lt;&gt;0",D205:O205))</f>
      </c>
      <c r="Q205" s="35"/>
    </row>
    <row r="206">
      <c r="A206" s="34">
        <v>204</v>
      </c>
      <c r="B206" s="31" t="str">
        <v>重庆</v>
      </c>
      <c r="C206" s="37" t="str">
        <v>政府性基金及附加</v>
      </c>
      <c r="D206" s="36" cm="1">
        <f t="array" ref="D206:D206">_xlfn.XLOOKUP($B$206,'分表5-政府性基金及附加'!$B$2：'分表5-政府性基金及附加'!$B$199,'分表5-政府性基金及附加'!$D$2：'分表5-政府性基金及附加'!$D$199)</f>
      </c>
      <c r="E206" s="36" cm="1">
        <f t="array" ref="E206:E206">_xlfn.XLOOKUP($B$206,'分表5-政府性基金及附加'!$B$2：'分表5-政府性基金及附加'!$B$199,'分表5-政府性基金及附加'!$D$2：'分表5-政府性基金及附加'!$D$199)</f>
      </c>
      <c r="F206" s="36" cm="1">
        <f t="array" ref="F206:F206">_xlfn.XLOOKUP($B$206,'分表5-政府性基金及附加'!$B$2：'分表5-政府性基金及附加'!$B$199,'分表5-政府性基金及附加'!$D$2：'分表5-政府性基金及附加'!$D$199)</f>
      </c>
      <c r="G206" s="36" cm="1">
        <f t="array" ref="G206:G206">_xlfn.XLOOKUP($B$206,'分表5-政府性基金及附加'!$B$2：'分表5-政府性基金及附加'!$B$199,'分表5-政府性基金及附加'!$D$2：'分表5-政府性基金及附加'!$D$199)</f>
      </c>
      <c r="H206" s="36" cm="1">
        <f t="array" ref="H206:H206">_xlfn.XLOOKUP($B$206,'分表5-政府性基金及附加'!$B$2：'分表5-政府性基金及附加'!$B$199,'分表5-政府性基金及附加'!$D$2：'分表5-政府性基金及附加'!$D$199)</f>
      </c>
      <c r="I206" s="36" cm="1">
        <f t="array" ref="I206:I206">_xlfn.XLOOKUP($B$206,'分表5-政府性基金及附加'!$B$2：'分表5-政府性基金及附加'!$B$199,'分表5-政府性基金及附加'!$D$2：'分表5-政府性基金及附加'!$D$199)</f>
      </c>
      <c r="J206" s="36" cm="1">
        <f t="array" ref="J206:J206">_xlfn.XLOOKUP($B$206,'分表5-政府性基金及附加'!$B$2：'分表5-政府性基金及附加'!$B$199,'分表5-政府性基金及附加'!$D$2：'分表5-政府性基金及附加'!$D$199)</f>
      </c>
      <c r="K206" s="36" cm="1">
        <f t="array" ref="K206:K206">_xlfn.XLOOKUP($B$206,'分表5-政府性基金及附加'!$B$2：'分表5-政府性基金及附加'!$B$199,'分表5-政府性基金及附加'!$D$2：'分表5-政府性基金及附加'!$D$199)</f>
      </c>
      <c r="L206" s="36" cm="1">
        <f t="array" ref="L206:L206">_xlfn.XLOOKUP($B$206,'分表5-政府性基金及附加'!$B$2：'分表5-政府性基金及附加'!$B$199,'分表5-政府性基金及附加'!$D$2：'分表5-政府性基金及附加'!$D$199)</f>
      </c>
      <c r="M206" s="36" cm="1">
        <f t="array" ref="M206:M206">_xlfn.XLOOKUP($B$206,'分表5-政府性基金及附加'!$B$2：'分表5-政府性基金及附加'!$B$199,'分表5-政府性基金及附加'!$D$2：'分表5-政府性基金及附加'!$D$199)</f>
      </c>
      <c r="N206" s="36" cm="1">
        <f t="array" ref="N206:N206">_xlfn.XLOOKUP($B$206,'分表5-政府性基金及附加'!$B$2：'分表5-政府性基金及附加'!$B$199,'分表5-政府性基金及附加'!$D$2：'分表5-政府性基金及附加'!$D$199)</f>
      </c>
      <c r="O206" s="36" cm="1">
        <f t="array" ref="O206:O206">_xlfn.XLOOKUP($B$206,'分表5-政府性基金及附加'!$B$2：'分表5-政府性基金及附加'!$B$199,'分表5-政府性基金及附加'!$D$2：'分表5-政府性基金及附加'!$D$199)</f>
      </c>
      <c r="P206" s="36">
        <f>IF(SUM(D206:O206)=0,"0",AVERAGEIF(D206:O206,"&lt;&gt;0",D206:O206))</f>
      </c>
      <c r="Q206" s="35"/>
    </row>
    <row r="207">
      <c r="A207" s="34">
        <v>205</v>
      </c>
      <c r="B207" s="31" t="str">
        <v>重庆</v>
      </c>
      <c r="C207" s="37" t="str">
        <v>系统运行费折价</v>
      </c>
      <c r="D207" s="32">
        <f>'分表8-2025三类细分价'!D534</f>
      </c>
      <c r="E207" s="32">
        <f>'分表8-2025三类细分价'!E534</f>
      </c>
      <c r="F207" s="32">
        <f>'分表8-2025三类细分价'!F534</f>
      </c>
      <c r="G207" s="32">
        <f>'分表8-2025三类细分价'!G534</f>
      </c>
      <c r="H207" s="32">
        <f>'分表8-2025三类细分价'!H534</f>
      </c>
      <c r="I207" s="32">
        <f>'分表8-2025三类细分价'!I534</f>
      </c>
      <c r="J207" s="32">
        <f>'分表8-2025三类细分价'!J534</f>
      </c>
      <c r="K207" s="32">
        <f>'分表8-2025三类细分价'!K534</f>
      </c>
      <c r="L207" s="32">
        <f>'分表8-2025三类细分价'!L534</f>
      </c>
      <c r="M207" s="32">
        <f>'分表8-2025三类细分价'!M534</f>
      </c>
      <c r="N207" s="32">
        <f>'分表8-2025三类细分价'!N534</f>
      </c>
      <c r="O207" s="32">
        <f>'分表8-2025三类细分价'!O534</f>
      </c>
      <c r="P207" s="36">
        <f>IF(SUM(D207:O207)=0,"0",AVERAGEIF(D207:O207,"&lt;&gt;0",D207:O207))</f>
      </c>
      <c r="Q207" s="35"/>
    </row>
    <row r="208">
      <c r="A208" s="34">
        <v>206</v>
      </c>
      <c r="B208" s="31" t="str">
        <v>重庆</v>
      </c>
      <c r="C208" s="37" t="str">
        <v>综合平段电价--电网代购</v>
      </c>
      <c r="D208" s="36">
        <f>IF(D205="/","/",SUM(D203:D207))</f>
      </c>
      <c r="E208" s="36">
        <f>IF(E205="/","/",SUM(E203:E207))</f>
      </c>
      <c r="F208" s="36">
        <f>IF(F205="/","/",SUM(F203:F207))</f>
      </c>
      <c r="G208" s="36">
        <f>IF(G205="/","/",SUM(G203:G207))</f>
      </c>
      <c r="H208" s="36">
        <f>IF(H205="/","/",SUM(H203:H207))</f>
      </c>
      <c r="I208" s="36">
        <f>IF(I205="/","/",SUM(I203:I207))</f>
      </c>
      <c r="J208" s="36">
        <f>IF(J205="/","/",SUM(J203:J207))</f>
      </c>
      <c r="K208" s="36">
        <f>IF(K205="/","/",SUM(K203:K207))</f>
      </c>
      <c r="L208" s="36">
        <f>IF(L205="/","/",SUM(L203:L207))</f>
      </c>
      <c r="M208" s="36">
        <f>IF(M205="/","/",SUM(M203:M207))</f>
      </c>
      <c r="N208" s="36">
        <f>IF(N205="/","/",SUM(N203:N207))</f>
      </c>
      <c r="O208" s="36">
        <f>IF(O205="/","/",SUM(O203:O207))</f>
      </c>
      <c r="P208" s="36">
        <f>IF(SUM(D208:O208)=0,"0",AVERAGEIF(D208:O208,"&lt;&gt;0",D208:O208))</f>
      </c>
      <c r="Q208" s="35"/>
    </row>
    <row r="209">
      <c r="A209" s="34">
        <v>207</v>
      </c>
      <c r="B209" s="31" t="str">
        <v>重庆</v>
      </c>
      <c r="C209" s="37" t="str">
        <v>入市交易购电价格</v>
      </c>
      <c r="D209" s="32">
        <f>'分表9-2025交易价格'!D27</f>
      </c>
      <c r="E209" s="32">
        <f>'分表9-2025交易价格'!E27</f>
      </c>
      <c r="F209" s="32">
        <f>'分表9-2025交易价格'!F27</f>
      </c>
      <c r="G209" s="32">
        <f>'分表9-2025交易价格'!G27</f>
      </c>
      <c r="H209" s="32">
        <f>'分表9-2025交易价格'!H27</f>
      </c>
      <c r="I209" s="32">
        <f>'分表9-2025交易价格'!I27</f>
      </c>
      <c r="J209" s="32">
        <f>'分表9-2025交易价格'!J27</f>
      </c>
      <c r="K209" s="32">
        <f>'分表9-2025交易价格'!K27</f>
      </c>
      <c r="L209" s="32">
        <f>'分表9-2025交易价格'!L27</f>
      </c>
      <c r="M209" s="32">
        <f>'分表9-2025交易价格'!M27</f>
      </c>
      <c r="N209" s="32">
        <f>'分表9-2025交易价格'!N27</f>
      </c>
      <c r="O209" s="32">
        <f>'分表9-2025交易价格'!O27</f>
      </c>
      <c r="P209" s="36">
        <f>IF(SUM(D209:O209)=0,"0",AVERAGEIF(D209:O209,"&lt;&gt;0",D209:O209))</f>
      </c>
      <c r="Q209" s="35"/>
    </row>
    <row r="210">
      <c r="A210" s="34">
        <v>208</v>
      </c>
      <c r="B210" s="31" t="str">
        <v>重庆</v>
      </c>
      <c r="C210" s="37" t="str">
        <v>综合平段电价--入市交易</v>
      </c>
      <c r="D210" s="36">
        <f>IF(D205="/","/",IF(D209&gt;0,D209+SUM(D204:D207),"/"))</f>
      </c>
      <c r="E210" s="36">
        <f>IF(E205="/","/",IF(E209&gt;0,E209+SUM(E204:E207),"/"))</f>
      </c>
      <c r="F210" s="36">
        <f>IF(F205="/","/",IF(F209&gt;0,F209+SUM(F204:F207),"/"))</f>
      </c>
      <c r="G210" s="36">
        <f>IF(G205="/","/",IF(G209&gt;0,G209+SUM(G204:G207),"/"))</f>
      </c>
      <c r="H210" s="36">
        <f>IF(H205="/","/",IF(H209&gt;0,H209+SUM(H204:H207),"/"))</f>
      </c>
      <c r="I210" s="36">
        <f>IF(I205="/","/",IF(I209&gt;0,I209+SUM(I204:I207),"/"))</f>
      </c>
      <c r="J210" s="36">
        <f>IF(J205="/","/",IF(J209&gt;0,J209+SUM(J204:J207),"/"))</f>
      </c>
      <c r="K210" s="36">
        <f>IF(K205="/","/",IF(K209&gt;0,K209+SUM(K204:K207),"/"))</f>
      </c>
      <c r="L210" s="36">
        <f>IF(L205="/","/",IF(L209&gt;0,L209+SUM(L204:L207),"/"))</f>
      </c>
      <c r="M210" s="36">
        <f>IF(M205="/","/",IF(M209&gt;0,M209+SUM(M204:M207),"/"))</f>
      </c>
      <c r="N210" s="36">
        <f>IF(N205="/","/",IF(N209&gt;0,N209+SUM(N204:N207),"/"))</f>
      </c>
      <c r="O210" s="36">
        <f>IF(O205="/","/",IF(O209&gt;0,O209+SUM(O204:O207),"/"))</f>
      </c>
      <c r="P210" s="36">
        <f>IF(SUM(D210:O210)=0,"0",AVERAGEIF(D210:O210,"&lt;&gt;0",D210:O210))</f>
      </c>
      <c r="Q210" s="35"/>
    </row>
    <row r="211">
      <c r="A211" s="34">
        <v>209</v>
      </c>
      <c r="B211" s="40" t="str">
        <v>四川</v>
      </c>
      <c r="C211" s="39" t="str">
        <v>代理购电价格</v>
      </c>
      <c r="D211" s="34">
        <f>'分表8-2025三类细分价'!D551</f>
      </c>
      <c r="E211" s="34">
        <f>'分表8-2025三类细分价'!E551</f>
      </c>
      <c r="F211" s="34">
        <f>'分表8-2025三类细分价'!F551</f>
      </c>
      <c r="G211" s="34">
        <f>'分表8-2025三类细分价'!G551</f>
      </c>
      <c r="H211" s="34">
        <f>'分表8-2025三类细分价'!H551</f>
      </c>
      <c r="I211" s="34">
        <f>'分表8-2025三类细分价'!I551</f>
      </c>
      <c r="J211" s="34">
        <f>'分表8-2025三类细分价'!J551</f>
      </c>
      <c r="K211" s="34">
        <f>'分表8-2025三类细分价'!K551</f>
      </c>
      <c r="L211" s="34">
        <f>'分表8-2025三类细分价'!L551</f>
      </c>
      <c r="M211" s="34">
        <f>'分表8-2025三类细分价'!M551</f>
      </c>
      <c r="N211" s="34">
        <f>'分表8-2025三类细分价'!N551</f>
      </c>
      <c r="O211" s="34">
        <f>'分表8-2025三类细分价'!O551</f>
      </c>
      <c r="P211" s="34">
        <f>IF(SUM(D211:O211)=0,"0",AVERAGEIF(D211:O211,"&lt;&gt;0",D211:O211))</f>
      </c>
      <c r="Q211" s="38"/>
    </row>
    <row r="212">
      <c r="A212" s="34">
        <v>210</v>
      </c>
      <c r="B212" s="40" t="str">
        <v>四川</v>
      </c>
      <c r="C212" s="39" t="str">
        <v>上网环节线损电价</v>
      </c>
      <c r="D212" s="34">
        <f>'分表8-2025三类细分价'!D554</f>
      </c>
      <c r="E212" s="34">
        <f>'分表8-2025三类细分价'!E554</f>
      </c>
      <c r="F212" s="34">
        <f>'分表8-2025三类细分价'!F554</f>
      </c>
      <c r="G212" s="34">
        <f>'分表8-2025三类细分价'!G554</f>
      </c>
      <c r="H212" s="34">
        <f>'分表8-2025三类细分价'!H554</f>
      </c>
      <c r="I212" s="34">
        <f>'分表8-2025三类细分价'!I554</f>
      </c>
      <c r="J212" s="34">
        <f>'分表8-2025三类细分价'!J554</f>
      </c>
      <c r="K212" s="34">
        <f>'分表8-2025三类细分价'!K554</f>
      </c>
      <c r="L212" s="34">
        <f>'分表8-2025三类细分价'!L554</f>
      </c>
      <c r="M212" s="34">
        <f>'分表8-2025三类细分价'!M554</f>
      </c>
      <c r="N212" s="34">
        <f>'分表8-2025三类细分价'!N554</f>
      </c>
      <c r="O212" s="34">
        <f>'分表8-2025三类细分价'!O554</f>
      </c>
      <c r="P212" s="34">
        <f>IF(SUM(D212:O212)=0,"0",AVERAGEIF(D212:O212,"&lt;&gt;0",D212:O212))</f>
      </c>
      <c r="Q212" s="38"/>
    </row>
    <row r="213">
      <c r="A213" s="34">
        <v>211</v>
      </c>
      <c r="B213" s="40" t="str">
        <v>四川</v>
      </c>
      <c r="C213" s="39" t="str">
        <v>电度输配电价</v>
      </c>
      <c r="D213" s="34" cm="1">
        <f t="array" ref="D213:D213">_xlfn.XLOOKUP($C$1,'分表4-电度输配电价'!$C210：'分表4-电度输配电价'!$C217&amp;'分表4-电度输配电价'!$D210：'分表4-电度输配电价'!$D217,'分表4-电度输配电价'!$E210：'分表4-电度输配电价'!$E217)</f>
      </c>
      <c r="E213" s="34" cm="1">
        <f t="array" ref="E213:E213">_xlfn.XLOOKUP($C$1,'分表4-电度输配电价'!$C210：'分表4-电度输配电价'!$C217&amp;'分表4-电度输配电价'!$D210：'分表4-电度输配电价'!$D217,'分表4-电度输配电价'!$E210：'分表4-电度输配电价'!$E217)</f>
      </c>
      <c r="F213" s="34" cm="1">
        <f t="array" ref="F213:F213">_xlfn.XLOOKUP($C$1,'分表4-电度输配电价'!$C210：'分表4-电度输配电价'!$C217&amp;'分表4-电度输配电价'!$D210：'分表4-电度输配电价'!$D217,'分表4-电度输配电价'!$E210：'分表4-电度输配电价'!$E217)</f>
      </c>
      <c r="G213" s="34" cm="1">
        <f t="array" ref="G213:G213">_xlfn.XLOOKUP($C$1,'分表4-电度输配电价'!$C210：'分表4-电度输配电价'!$C217&amp;'分表4-电度输配电价'!$D210：'分表4-电度输配电价'!$D217,'分表4-电度输配电价'!$E210：'分表4-电度输配电价'!$E217)</f>
      </c>
      <c r="H213" s="34" cm="1">
        <f t="array" ref="H213:H213">_xlfn.XLOOKUP($C$1,'分表4-电度输配电价'!$C210：'分表4-电度输配电价'!$C217&amp;'分表4-电度输配电价'!$D210：'分表4-电度输配电价'!$D217,'分表4-电度输配电价'!$E210：'分表4-电度输配电价'!$E217)</f>
      </c>
      <c r="I213" s="34" cm="1">
        <f t="array" ref="I213:I213">_xlfn.XLOOKUP($C$1,'分表4-电度输配电价'!$C210：'分表4-电度输配电价'!$C217&amp;'分表4-电度输配电价'!$D210：'分表4-电度输配电价'!$D217,'分表4-电度输配电价'!$E210：'分表4-电度输配电价'!$E217)</f>
      </c>
      <c r="J213" s="34" cm="1">
        <f t="array" ref="J213:J213">_xlfn.XLOOKUP($C$1,'分表4-电度输配电价'!$C210：'分表4-电度输配电价'!$C217&amp;'分表4-电度输配电价'!$D210：'分表4-电度输配电价'!$D217,'分表4-电度输配电价'!$E210：'分表4-电度输配电价'!$E217)</f>
      </c>
      <c r="K213" s="34" cm="1">
        <f t="array" ref="K213:K213">_xlfn.XLOOKUP($C$1,'分表4-电度输配电价'!$C210：'分表4-电度输配电价'!$C217&amp;'分表4-电度输配电价'!$D210：'分表4-电度输配电价'!$D217,'分表4-电度输配电价'!$E210：'分表4-电度输配电价'!$E217)</f>
      </c>
      <c r="L213" s="34" cm="1">
        <f t="array" ref="L213:L213">_xlfn.XLOOKUP($C$1,'分表4-电度输配电价'!$C210：'分表4-电度输配电价'!$C217&amp;'分表4-电度输配电价'!$D210：'分表4-电度输配电价'!$D217,'分表4-电度输配电价'!$E210：'分表4-电度输配电价'!$E217)</f>
      </c>
      <c r="M213" s="34" cm="1">
        <f t="array" ref="M213:M213">_xlfn.XLOOKUP($C$1,'分表4-电度输配电价'!$C210：'分表4-电度输配电价'!$C217&amp;'分表4-电度输配电价'!$D210：'分表4-电度输配电价'!$D217,'分表4-电度输配电价'!$E210：'分表4-电度输配电价'!$E217)</f>
      </c>
      <c r="N213" s="34" cm="1">
        <f t="array" ref="N213:N213">_xlfn.XLOOKUP($C$1,'分表4-电度输配电价'!$C210：'分表4-电度输配电价'!$C217&amp;'分表4-电度输配电价'!$D210：'分表4-电度输配电价'!$D217,'分表4-电度输配电价'!$E210：'分表4-电度输配电价'!$E217)</f>
      </c>
      <c r="O213" s="34" cm="1">
        <f t="array" ref="O213:O213">_xlfn.XLOOKUP($C$1,'分表4-电度输配电价'!$C210：'分表4-电度输配电价'!$C217&amp;'分表4-电度输配电价'!$D210：'分表4-电度输配电价'!$D217,'分表4-电度输配电价'!$E210：'分表4-电度输配电价'!$E217)</f>
      </c>
      <c r="P213" s="34">
        <f>IF(SUM(D213:O213)=0,"0",AVERAGEIF(D213:O213,"&lt;&gt;0",D213:O213))</f>
      </c>
      <c r="Q213" s="38"/>
    </row>
    <row r="214">
      <c r="A214" s="34">
        <v>212</v>
      </c>
      <c r="B214" s="40" t="str">
        <v>四川</v>
      </c>
      <c r="C214" s="39" t="str">
        <v>政府性基金及附加</v>
      </c>
      <c r="D214" s="34" cm="1">
        <f t="array" ref="D214:D214">_xlfn.XLOOKUP($B$214,'分表5-政府性基金及附加'!$B$2：'分表5-政府性基金及附加'!$B$199,'分表5-政府性基金及附加'!$D$2：'分表5-政府性基金及附加'!$D$199)</f>
      </c>
      <c r="E214" s="34" cm="1">
        <f t="array" ref="E214:E214">_xlfn.XLOOKUP($B$214,'分表5-政府性基金及附加'!$B$2：'分表5-政府性基金及附加'!$B$199,'分表5-政府性基金及附加'!$D$2：'分表5-政府性基金及附加'!$D$199)</f>
      </c>
      <c r="F214" s="34" cm="1">
        <f t="array" ref="F214:F214">_xlfn.XLOOKUP($B$214,'分表5-政府性基金及附加'!$B$2：'分表5-政府性基金及附加'!$B$199,'分表5-政府性基金及附加'!$D$2：'分表5-政府性基金及附加'!$D$199)</f>
      </c>
      <c r="G214" s="34" cm="1">
        <f t="array" ref="G214:G214">_xlfn.XLOOKUP($B$214,'分表5-政府性基金及附加'!$B$2：'分表5-政府性基金及附加'!$B$199,'分表5-政府性基金及附加'!$D$2：'分表5-政府性基金及附加'!$D$199)</f>
      </c>
      <c r="H214" s="34" cm="1">
        <f t="array" ref="H214:H214">_xlfn.XLOOKUP($B$214,'分表5-政府性基金及附加'!$B$2：'分表5-政府性基金及附加'!$B$199,'分表5-政府性基金及附加'!$D$2：'分表5-政府性基金及附加'!$D$199)</f>
      </c>
      <c r="I214" s="34" cm="1">
        <f t="array" ref="I214:I214">_xlfn.XLOOKUP($B$214,'分表5-政府性基金及附加'!$B$2：'分表5-政府性基金及附加'!$B$199,'分表5-政府性基金及附加'!$D$2：'分表5-政府性基金及附加'!$D$199)</f>
      </c>
      <c r="J214" s="34" cm="1">
        <f t="array" ref="J214:J214">_xlfn.XLOOKUP($B$214,'分表5-政府性基金及附加'!$B$2：'分表5-政府性基金及附加'!$B$199,'分表5-政府性基金及附加'!$D$2：'分表5-政府性基金及附加'!$D$199)</f>
      </c>
      <c r="K214" s="34" cm="1">
        <f t="array" ref="K214:K214">_xlfn.XLOOKUP($B$214,'分表5-政府性基金及附加'!$B$2：'分表5-政府性基金及附加'!$B$199,'分表5-政府性基金及附加'!$D$2：'分表5-政府性基金及附加'!$D$199)</f>
      </c>
      <c r="L214" s="34" cm="1">
        <f t="array" ref="L214:L214">_xlfn.XLOOKUP($B$214,'分表5-政府性基金及附加'!$B$2：'分表5-政府性基金及附加'!$B$199,'分表5-政府性基金及附加'!$D$2：'分表5-政府性基金及附加'!$D$199)</f>
      </c>
      <c r="M214" s="34" cm="1">
        <f t="array" ref="M214:M214">_xlfn.XLOOKUP($B$214,'分表5-政府性基金及附加'!$B$2：'分表5-政府性基金及附加'!$B$199,'分表5-政府性基金及附加'!$D$2：'分表5-政府性基金及附加'!$D$199)</f>
      </c>
      <c r="N214" s="34" cm="1">
        <f t="array" ref="N214:N214">_xlfn.XLOOKUP($B$214,'分表5-政府性基金及附加'!$B$2：'分表5-政府性基金及附加'!$B$199,'分表5-政府性基金及附加'!$D$2：'分表5-政府性基金及附加'!$D$199)</f>
      </c>
      <c r="O214" s="34" cm="1">
        <f t="array" ref="O214:O214">_xlfn.XLOOKUP($B$214,'分表5-政府性基金及附加'!$B$2：'分表5-政府性基金及附加'!$B$199,'分表5-政府性基金及附加'!$D$2：'分表5-政府性基金及附加'!$D$199)</f>
      </c>
      <c r="P214" s="34">
        <f>IF(SUM(D214:O214)=0,"0",AVERAGEIF(D214:O214,"&lt;&gt;0",D214:O214))</f>
      </c>
      <c r="Q214" s="38"/>
    </row>
    <row r="215">
      <c r="A215" s="34">
        <v>213</v>
      </c>
      <c r="B215" s="40" t="str">
        <v>四川</v>
      </c>
      <c r="C215" s="39" t="str">
        <v>系统运行费折价</v>
      </c>
      <c r="D215" s="34">
        <f>'分表8-2025三类细分价'!D555</f>
      </c>
      <c r="E215" s="34">
        <f>'分表8-2025三类细分价'!E555</f>
      </c>
      <c r="F215" s="34">
        <f>'分表8-2025三类细分价'!F555</f>
      </c>
      <c r="G215" s="34">
        <f>'分表8-2025三类细分价'!G555</f>
      </c>
      <c r="H215" s="34">
        <f>'分表8-2025三类细分价'!H555</f>
      </c>
      <c r="I215" s="34">
        <f>'分表8-2025三类细分价'!I555</f>
      </c>
      <c r="J215" s="34">
        <f>'分表8-2025三类细分价'!J555</f>
      </c>
      <c r="K215" s="34">
        <f>'分表8-2025三类细分价'!K555</f>
      </c>
      <c r="L215" s="34">
        <f>'分表8-2025三类细分价'!L555</f>
      </c>
      <c r="M215" s="34">
        <f>'分表8-2025三类细分价'!M555</f>
      </c>
      <c r="N215" s="34">
        <f>'分表8-2025三类细分价'!N555</f>
      </c>
      <c r="O215" s="34">
        <f>'分表8-2025三类细分价'!O555</f>
      </c>
      <c r="P215" s="34">
        <f>IF(SUM(D215:O215)=0,"0",AVERAGEIF(D215:O215,"&lt;&gt;0",D215:O215))</f>
      </c>
      <c r="Q215" s="38"/>
    </row>
    <row r="216">
      <c r="A216" s="34">
        <v>214</v>
      </c>
      <c r="B216" s="40" t="str">
        <v>四川</v>
      </c>
      <c r="C216" s="39" t="str">
        <v>综合平段电价--电网代购</v>
      </c>
      <c r="D216" s="34">
        <f>IF(D213="/","/",SUM(D211:D215))</f>
      </c>
      <c r="E216" s="34">
        <f>IF(E213="/","/",SUM(E211:E215))</f>
      </c>
      <c r="F216" s="34">
        <f>IF(F213="/","/",SUM(F211:F215))</f>
      </c>
      <c r="G216" s="34">
        <f>IF(G213="/","/",SUM(G211:G215))</f>
      </c>
      <c r="H216" s="34">
        <f>IF(H213="/","/",SUM(H211:H215))</f>
      </c>
      <c r="I216" s="34">
        <f>IF(I213="/","/",SUM(I211:I215))</f>
      </c>
      <c r="J216" s="34">
        <f>IF(J213="/","/",SUM(J211:J215))</f>
      </c>
      <c r="K216" s="34">
        <f>IF(K213="/","/",SUM(K211:K215))</f>
      </c>
      <c r="L216" s="34">
        <f>IF(L213="/","/",SUM(L211:L215))</f>
      </c>
      <c r="M216" s="34">
        <f>IF(M213="/","/",SUM(M211:M215))</f>
      </c>
      <c r="N216" s="34">
        <f>IF(N213="/","/",SUM(N211:N215))</f>
      </c>
      <c r="O216" s="34">
        <f>IF(O213="/","/",SUM(O211:O215))</f>
      </c>
      <c r="P216" s="34">
        <f>IF(SUM(D216:O216)=0,"0",AVERAGEIF(D216:O216,"&lt;&gt;0",D216:O216))</f>
      </c>
      <c r="Q216" s="38"/>
    </row>
    <row r="217">
      <c r="A217" s="34">
        <v>215</v>
      </c>
      <c r="B217" s="40" t="str">
        <v>四川</v>
      </c>
      <c r="C217" s="39" t="str">
        <v>入市交易购电价格</v>
      </c>
      <c r="D217" s="34">
        <f>'分表9-2025交易价格'!D28</f>
      </c>
      <c r="E217" s="34">
        <f>'分表9-2025交易价格'!E28</f>
      </c>
      <c r="F217" s="34">
        <f>'分表9-2025交易价格'!F28</f>
      </c>
      <c r="G217" s="34">
        <f>'分表9-2025交易价格'!G28</f>
      </c>
      <c r="H217" s="34">
        <f>'分表9-2025交易价格'!H28</f>
      </c>
      <c r="I217" s="34">
        <f>'分表9-2025交易价格'!I28</f>
      </c>
      <c r="J217" s="34">
        <f>'分表9-2025交易价格'!J28</f>
      </c>
      <c r="K217" s="34">
        <f>'分表9-2025交易价格'!K28</f>
      </c>
      <c r="L217" s="34">
        <f>'分表9-2025交易价格'!L28</f>
      </c>
      <c r="M217" s="34">
        <f>'分表9-2025交易价格'!M28</f>
      </c>
      <c r="N217" s="34">
        <f>'分表9-2025交易价格'!N28</f>
      </c>
      <c r="O217" s="34">
        <f>'分表9-2025交易价格'!O28</f>
      </c>
      <c r="P217" s="34">
        <f>IF(SUM(D217:O217)=0,"0",AVERAGEIF(D217:O217,"&lt;&gt;0",D217:O217))</f>
      </c>
      <c r="Q217" s="38"/>
    </row>
    <row r="218">
      <c r="A218" s="34">
        <v>216</v>
      </c>
      <c r="B218" s="40" t="str">
        <v>四川</v>
      </c>
      <c r="C218" s="39" t="str">
        <v>综合平段电价--入市交易</v>
      </c>
      <c r="D218" s="34">
        <f>IF(D213="/","/",IF(D217&gt;0,D217+SUM(D212:D215),"/"))</f>
      </c>
      <c r="E218" s="34">
        <f>IF(E213="/","/",IF(E217&gt;0,E217+SUM(E212:E215),"/"))</f>
      </c>
      <c r="F218" s="34">
        <f>IF(F213="/","/",IF(F217&gt;0,F217+SUM(F212:F215),"/"))</f>
      </c>
      <c r="G218" s="34">
        <f>IF(G213="/","/",IF(G217&gt;0,G217+SUM(G212:G215),"/"))</f>
      </c>
      <c r="H218" s="34">
        <f>IF(H213="/","/",IF(H217&gt;0,H217+SUM(H212:H215),"/"))</f>
      </c>
      <c r="I218" s="34">
        <f>IF(I213="/","/",IF(I217&gt;0,I217+SUM(I212:I215),"/"))</f>
      </c>
      <c r="J218" s="34">
        <f>IF(J213="/","/",IF(J217&gt;0,J217+SUM(J212:J215),"/"))</f>
      </c>
      <c r="K218" s="34">
        <f>IF(K213="/","/",IF(K217&gt;0,K217+SUM(K212:K215),"/"))</f>
      </c>
      <c r="L218" s="34">
        <f>IF(L213="/","/",IF(L217&gt;0,L217+SUM(L212:L215),"/"))</f>
      </c>
      <c r="M218" s="34">
        <f>IF(M213="/","/",IF(M217&gt;0,M217+SUM(M212:M215),"/"))</f>
      </c>
      <c r="N218" s="34">
        <f>IF(N213="/","/",IF(N217&gt;0,N217+SUM(N212:N215),"/"))</f>
      </c>
      <c r="O218" s="34">
        <f>IF(O213="/","/",IF(O217&gt;0,O217+SUM(O212:O215),"/"))</f>
      </c>
      <c r="P218" s="34">
        <f>IF(SUM(D218:O218)=0,"0",AVERAGEIF(D218:O218,"&lt;&gt;0",D218:O218))</f>
      </c>
      <c r="Q218" s="38"/>
    </row>
    <row r="219">
      <c r="A219" s="34">
        <v>217</v>
      </c>
      <c r="B219" s="31" t="str">
        <v>广东</v>
      </c>
      <c r="C219" s="37" t="str">
        <v>代理购电价格</v>
      </c>
      <c r="D219" s="36">
        <f>'分表8-2025三类细分价'!D572</f>
      </c>
      <c r="E219" s="36">
        <f>'分表8-2025三类细分价'!E572</f>
      </c>
      <c r="F219" s="36">
        <f>'分表8-2025三类细分价'!F572</f>
      </c>
      <c r="G219" s="36">
        <f>'分表8-2025三类细分价'!G572</f>
      </c>
      <c r="H219" s="36">
        <f>'分表8-2025三类细分价'!H572</f>
      </c>
      <c r="I219" s="36">
        <f>'分表8-2025三类细分价'!I572</f>
      </c>
      <c r="J219" s="36">
        <f>'分表8-2025三类细分价'!J572</f>
      </c>
      <c r="K219" s="36">
        <f>'分表8-2025三类细分价'!K572</f>
      </c>
      <c r="L219" s="36">
        <f>'分表8-2025三类细分价'!L572</f>
      </c>
      <c r="M219" s="36">
        <f>'分表8-2025三类细分价'!M572</f>
      </c>
      <c r="N219" s="36">
        <f>'分表8-2025三类细分价'!N572</f>
      </c>
      <c r="O219" s="36">
        <f>'分表8-2025三类细分价'!O572</f>
      </c>
      <c r="P219" s="36">
        <f>IF(SUM(D219:O219)=0,"0",AVERAGEIF(D219:O219,"&lt;&gt;0",D219:O219))</f>
      </c>
      <c r="Q219" s="35"/>
    </row>
    <row r="220">
      <c r="A220" s="34">
        <v>218</v>
      </c>
      <c r="B220" s="31" t="str">
        <v>广东</v>
      </c>
      <c r="C220" s="37" t="str">
        <v>上网环节线损电价</v>
      </c>
      <c r="D220" s="32">
        <f>'分表8-2025三类细分价'!D575</f>
      </c>
      <c r="E220" s="32">
        <f>'分表8-2025三类细分价'!E575</f>
      </c>
      <c r="F220" s="32">
        <f>'分表8-2025三类细分价'!F575</f>
      </c>
      <c r="G220" s="32">
        <f>'分表8-2025三类细分价'!G575</f>
      </c>
      <c r="H220" s="32">
        <f>'分表8-2025三类细分价'!H575</f>
      </c>
      <c r="I220" s="32">
        <f>'分表8-2025三类细分价'!I575</f>
      </c>
      <c r="J220" s="32">
        <f>'分表8-2025三类细分价'!J575</f>
      </c>
      <c r="K220" s="32">
        <f>'分表8-2025三类细分价'!K575</f>
      </c>
      <c r="L220" s="32">
        <f>'分表8-2025三类细分价'!L575</f>
      </c>
      <c r="M220" s="32">
        <f>'分表8-2025三类细分价'!M575</f>
      </c>
      <c r="N220" s="32">
        <f>'分表8-2025三类细分价'!N575</f>
      </c>
      <c r="O220" s="32">
        <f>'分表8-2025三类细分价'!O575</f>
      </c>
      <c r="P220" s="36">
        <f>IF(SUM(D220:O220)=0,"0",AVERAGEIF(D220:O220,"&lt;&gt;0",D220:O220))</f>
      </c>
      <c r="Q220" s="35"/>
    </row>
    <row r="221">
      <c r="A221" s="34">
        <v>219</v>
      </c>
      <c r="B221" s="31" t="str">
        <v>广东</v>
      </c>
      <c r="C221" s="37" t="str">
        <v>电度输配电价</v>
      </c>
      <c r="D221" s="36" cm="1">
        <f t="array" ref="D221:D221">_xlfn.XLOOKUP($C$1,'分表4-电度输配电价'!$C218：'分表4-电度输配电价'!$C225&amp;'分表4-电度输配电价'!$D218：'分表4-电度输配电价'!$D225,'分表4-电度输配电价'!$E218：'分表4-电度输配电价'!$E225)</f>
      </c>
      <c r="E221" s="36" cm="1">
        <f t="array" ref="E221:E221">_xlfn.XLOOKUP($C$1,'分表4-电度输配电价'!$C218：'分表4-电度输配电价'!$C225&amp;'分表4-电度输配电价'!$D218：'分表4-电度输配电价'!$D225,'分表4-电度输配电价'!$E218：'分表4-电度输配电价'!$E225)</f>
      </c>
      <c r="F221" s="36" cm="1">
        <f t="array" ref="F221:F221">_xlfn.XLOOKUP($C$1,'分表4-电度输配电价'!$C218：'分表4-电度输配电价'!$C225&amp;'分表4-电度输配电价'!$D218：'分表4-电度输配电价'!$D225,'分表4-电度输配电价'!$E218：'分表4-电度输配电价'!$E225)</f>
      </c>
      <c r="G221" s="36" cm="1">
        <f t="array" ref="G221:G221">_xlfn.XLOOKUP($C$1,'分表4-电度输配电价'!$C218：'分表4-电度输配电价'!$C225&amp;'分表4-电度输配电价'!$D218：'分表4-电度输配电价'!$D225,'分表4-电度输配电价'!$E218：'分表4-电度输配电价'!$E225)</f>
      </c>
      <c r="H221" s="36" cm="1">
        <f t="array" ref="H221:H221">_xlfn.XLOOKUP($C$1,'分表4-电度输配电价'!$C218：'分表4-电度输配电价'!$C225&amp;'分表4-电度输配电价'!$D218：'分表4-电度输配电价'!$D225,'分表4-电度输配电价'!$E218：'分表4-电度输配电价'!$E225)</f>
      </c>
      <c r="I221" s="36" cm="1">
        <f t="array" ref="I221:I221">_xlfn.XLOOKUP($C$1,'分表4-电度输配电价'!$C218：'分表4-电度输配电价'!$C225&amp;'分表4-电度输配电价'!$D218：'分表4-电度输配电价'!$D225,'分表4-电度输配电价'!$E218：'分表4-电度输配电价'!$E225)</f>
      </c>
      <c r="J221" s="36" cm="1">
        <f t="array" ref="J221:J221">_xlfn.XLOOKUP($C$1,'分表4-电度输配电价'!$C218：'分表4-电度输配电价'!$C225&amp;'分表4-电度输配电价'!$D218：'分表4-电度输配电价'!$D225,'分表4-电度输配电价'!$E218：'分表4-电度输配电价'!$E225)</f>
      </c>
      <c r="K221" s="36" cm="1">
        <f t="array" ref="K221:K221">_xlfn.XLOOKUP($C$1,'分表4-电度输配电价'!$C218：'分表4-电度输配电价'!$C225&amp;'分表4-电度输配电价'!$D218：'分表4-电度输配电价'!$D225,'分表4-电度输配电价'!$E218：'分表4-电度输配电价'!$E225)</f>
      </c>
      <c r="L221" s="36" cm="1">
        <f t="array" ref="L221:L221">_xlfn.XLOOKUP($C$1,'分表4-电度输配电价'!$C218：'分表4-电度输配电价'!$C225&amp;'分表4-电度输配电价'!$D218：'分表4-电度输配电价'!$D225,'分表4-电度输配电价'!$E218：'分表4-电度输配电价'!$E225)</f>
      </c>
      <c r="M221" s="36" cm="1">
        <f t="array" ref="M221:M221">_xlfn.XLOOKUP($C$1,'分表4-电度输配电价'!$C218：'分表4-电度输配电价'!$C225&amp;'分表4-电度输配电价'!$D218：'分表4-电度输配电价'!$D225,'分表4-电度输配电价'!$E218：'分表4-电度输配电价'!$E225)</f>
      </c>
      <c r="N221" s="36" cm="1">
        <f t="array" ref="N221:N221">_xlfn.XLOOKUP($C$1,'分表4-电度输配电价'!$C218：'分表4-电度输配电价'!$C225&amp;'分表4-电度输配电价'!$D218：'分表4-电度输配电价'!$D225,'分表4-电度输配电价'!$E218：'分表4-电度输配电价'!$E225)</f>
      </c>
      <c r="O221" s="36" cm="1">
        <f t="array" ref="O221:O221">_xlfn.XLOOKUP($C$1,'分表4-电度输配电价'!$C218：'分表4-电度输配电价'!$C225&amp;'分表4-电度输配电价'!$D218：'分表4-电度输配电价'!$D225,'分表4-电度输配电价'!$E218：'分表4-电度输配电价'!$E225)</f>
      </c>
      <c r="P221" s="36">
        <f>IF(SUM(D221:O221)=0,"0",AVERAGEIF(D221:O221,"&lt;&gt;0",D221:O221))</f>
      </c>
      <c r="Q221" s="35"/>
    </row>
    <row r="222">
      <c r="A222" s="34">
        <v>220</v>
      </c>
      <c r="B222" s="31" t="str">
        <v>广东</v>
      </c>
      <c r="C222" s="37" t="str">
        <v>政府性基金及附加</v>
      </c>
      <c r="D222" s="36" cm="1">
        <f t="array" ref="D222:D222">_xlfn.XLOOKUP($B$222,'分表5-政府性基金及附加'!$B$2：'分表5-政府性基金及附加'!$B$199,'分表5-政府性基金及附加'!$D$2：'分表5-政府性基金及附加'!$D$199)</f>
      </c>
      <c r="E222" s="36" cm="1">
        <f t="array" ref="E222:E222">_xlfn.XLOOKUP($B$222,'分表5-政府性基金及附加'!$B$2：'分表5-政府性基金及附加'!$B$199,'分表5-政府性基金及附加'!$D$2：'分表5-政府性基金及附加'!$D$199)</f>
      </c>
      <c r="F222" s="36" cm="1">
        <f t="array" ref="F222:F222">_xlfn.XLOOKUP($B$222,'分表5-政府性基金及附加'!$B$2：'分表5-政府性基金及附加'!$B$199,'分表5-政府性基金及附加'!$D$2：'分表5-政府性基金及附加'!$D$199)</f>
      </c>
      <c r="G222" s="36" cm="1">
        <f t="array" ref="G222:G222">_xlfn.XLOOKUP($B$222,'分表5-政府性基金及附加'!$B$2：'分表5-政府性基金及附加'!$B$199,'分表5-政府性基金及附加'!$D$2：'分表5-政府性基金及附加'!$D$199)</f>
      </c>
      <c r="H222" s="36" cm="1">
        <f t="array" ref="H222:H222">_xlfn.XLOOKUP($B$222,'分表5-政府性基金及附加'!$B$2：'分表5-政府性基金及附加'!$B$199,'分表5-政府性基金及附加'!$D$2：'分表5-政府性基金及附加'!$D$199)</f>
      </c>
      <c r="I222" s="36" cm="1">
        <f t="array" ref="I222:I222">_xlfn.XLOOKUP($B$222,'分表5-政府性基金及附加'!$B$2：'分表5-政府性基金及附加'!$B$199,'分表5-政府性基金及附加'!$D$2：'分表5-政府性基金及附加'!$D$199)</f>
      </c>
      <c r="J222" s="36" cm="1">
        <f t="array" ref="J222:J222">_xlfn.XLOOKUP($B$222,'分表5-政府性基金及附加'!$B$2：'分表5-政府性基金及附加'!$B$199,'分表5-政府性基金及附加'!$D$2：'分表5-政府性基金及附加'!$D$199)</f>
      </c>
      <c r="K222" s="36" cm="1">
        <f t="array" ref="K222:K222">_xlfn.XLOOKUP($B$222,'分表5-政府性基金及附加'!$B$2：'分表5-政府性基金及附加'!$B$199,'分表5-政府性基金及附加'!$D$2：'分表5-政府性基金及附加'!$D$199)</f>
      </c>
      <c r="L222" s="36" cm="1">
        <f t="array" ref="L222:L222">_xlfn.XLOOKUP($B$222,'分表5-政府性基金及附加'!$B$2：'分表5-政府性基金及附加'!$B$199,'分表5-政府性基金及附加'!$D$2：'分表5-政府性基金及附加'!$D$199)</f>
      </c>
      <c r="M222" s="36" cm="1">
        <f t="array" ref="M222:M222">_xlfn.XLOOKUP($B$222,'分表5-政府性基金及附加'!$B$2：'分表5-政府性基金及附加'!$B$199,'分表5-政府性基金及附加'!$D$2：'分表5-政府性基金及附加'!$D$199)</f>
      </c>
      <c r="N222" s="36" cm="1">
        <f t="array" ref="N222:N222">_xlfn.XLOOKUP($B$222,'分表5-政府性基金及附加'!$B$2：'分表5-政府性基金及附加'!$B$199,'分表5-政府性基金及附加'!$D$2：'分表5-政府性基金及附加'!$D$199)</f>
      </c>
      <c r="O222" s="36" cm="1">
        <f t="array" ref="O222:O222">_xlfn.XLOOKUP($B$222,'分表5-政府性基金及附加'!$B$2：'分表5-政府性基金及附加'!$B$199,'分表5-政府性基金及附加'!$D$2：'分表5-政府性基金及附加'!$D$199)</f>
      </c>
      <c r="P222" s="36">
        <f>IF(SUM(D222:O222)=0,"0",AVERAGEIF(D222:O222,"&lt;&gt;0",D222:O222))</f>
      </c>
      <c r="Q222" s="35"/>
    </row>
    <row r="223">
      <c r="A223" s="34">
        <v>221</v>
      </c>
      <c r="B223" s="31" t="str">
        <v>广东</v>
      </c>
      <c r="C223" s="37" t="str">
        <v>系统运行费折价</v>
      </c>
      <c r="D223" s="32">
        <f>'分表8-2025三类细分价'!D576</f>
      </c>
      <c r="E223" s="32">
        <f>'分表8-2025三类细分价'!E576</f>
      </c>
      <c r="F223" s="32">
        <f>'分表8-2025三类细分价'!F576</f>
      </c>
      <c r="G223" s="32">
        <f>'分表8-2025三类细分价'!G576</f>
      </c>
      <c r="H223" s="32">
        <f>'分表8-2025三类细分价'!H576</f>
      </c>
      <c r="I223" s="32">
        <f>'分表8-2025三类细分价'!I576</f>
      </c>
      <c r="J223" s="32">
        <f>'分表8-2025三类细分价'!J576</f>
      </c>
      <c r="K223" s="32">
        <f>'分表8-2025三类细分价'!K576</f>
      </c>
      <c r="L223" s="32">
        <f>'分表8-2025三类细分价'!L576</f>
      </c>
      <c r="M223" s="32">
        <f>'分表8-2025三类细分价'!M576</f>
      </c>
      <c r="N223" s="32">
        <f>'分表8-2025三类细分价'!N576</f>
      </c>
      <c r="O223" s="32">
        <f>'分表8-2025三类细分价'!O576</f>
      </c>
      <c r="P223" s="36">
        <f>IF(SUM(D223:O223)=0,"0",AVERAGEIF(D223:O223,"&lt;&gt;0",D223:O223))</f>
      </c>
      <c r="Q223" s="35"/>
    </row>
    <row r="224">
      <c r="A224" s="34">
        <v>222</v>
      </c>
      <c r="B224" s="31" t="str">
        <v>广东</v>
      </c>
      <c r="C224" s="37" t="str">
        <v>综合平段电价--电网代购</v>
      </c>
      <c r="D224" s="36">
        <f>IF(D221="/","/",SUM(D219:D223))</f>
      </c>
      <c r="E224" s="36">
        <f>IF(E221="/","/",SUM(E219:E223))</f>
      </c>
      <c r="F224" s="36">
        <f>IF(F221="/","/",SUM(F219:F223))</f>
      </c>
      <c r="G224" s="36">
        <f>IF(G221="/","/",SUM(G219:G223))</f>
      </c>
      <c r="H224" s="36">
        <f>IF(H221="/","/",SUM(H219:H223))</f>
      </c>
      <c r="I224" s="36">
        <f>IF(I221="/","/",SUM(I219:I223))</f>
      </c>
      <c r="J224" s="36">
        <f>IF(J221="/","/",SUM(J219:J223))</f>
      </c>
      <c r="K224" s="36">
        <f>IF(K221="/","/",SUM(K219:K223))</f>
      </c>
      <c r="L224" s="36">
        <f>IF(L221="/","/",SUM(L219:L223))</f>
      </c>
      <c r="M224" s="36">
        <f>IF(M221="/","/",SUM(M219:M223))</f>
      </c>
      <c r="N224" s="36">
        <f>IF(N221="/","/",SUM(N219:N223))</f>
      </c>
      <c r="O224" s="36">
        <f>IF(O221="/","/",SUM(O219:O223))</f>
      </c>
      <c r="P224" s="36">
        <f>IF(SUM(D224:O224)=0,"0",AVERAGEIF(D224:O224,"&lt;&gt;0",D224:O224))</f>
      </c>
      <c r="Q224" s="35"/>
    </row>
    <row r="225">
      <c r="A225" s="34">
        <v>223</v>
      </c>
      <c r="B225" s="31" t="str">
        <v>广东</v>
      </c>
      <c r="C225" s="37" t="str">
        <v>入市交易购电价格</v>
      </c>
      <c r="D225" s="32">
        <f>'分表9-2025交易价格'!D29</f>
      </c>
      <c r="E225" s="32">
        <f>'分表9-2025交易价格'!E29</f>
      </c>
      <c r="F225" s="32">
        <f>'分表9-2025交易价格'!F29</f>
      </c>
      <c r="G225" s="32">
        <f>'分表9-2025交易价格'!G29</f>
      </c>
      <c r="H225" s="32">
        <f>'分表9-2025交易价格'!H29</f>
      </c>
      <c r="I225" s="32">
        <f>'分表9-2025交易价格'!I29</f>
      </c>
      <c r="J225" s="32">
        <f>'分表9-2025交易价格'!J29</f>
      </c>
      <c r="K225" s="32">
        <f>'分表9-2025交易价格'!K29</f>
      </c>
      <c r="L225" s="32">
        <f>'分表9-2025交易价格'!L29</f>
      </c>
      <c r="M225" s="32">
        <f>'分表9-2025交易价格'!M29</f>
      </c>
      <c r="N225" s="32">
        <f>'分表9-2025交易价格'!N29</f>
      </c>
      <c r="O225" s="32">
        <f>'分表9-2025交易价格'!O29</f>
      </c>
      <c r="P225" s="36">
        <f>IF(SUM(D225:O225)=0,"0",AVERAGEIF(D225:O225,"&lt;&gt;0",D225:O225))</f>
      </c>
      <c r="Q225" s="35"/>
    </row>
    <row r="226">
      <c r="A226" s="34">
        <v>224</v>
      </c>
      <c r="B226" s="31" t="str">
        <v>广东</v>
      </c>
      <c r="C226" s="37" t="str">
        <v>综合平段电价--入市交易</v>
      </c>
      <c r="D226" s="36">
        <f>IF(D221="/","/",IF(D225&gt;0,D225+SUM(D220:D223),"/"))</f>
      </c>
      <c r="E226" s="36">
        <f>IF(E221="/","/",IF(E225&gt;0,E225+SUM(E220:E223),"/"))</f>
      </c>
      <c r="F226" s="36">
        <f>IF(F221="/","/",IF(F225&gt;0,F225+SUM(F220:F223),"/"))</f>
      </c>
      <c r="G226" s="36">
        <f>IF(G221="/","/",IF(G225&gt;0,G225+SUM(G220:G223),"/"))</f>
      </c>
      <c r="H226" s="36">
        <f>IF(H221="/","/",IF(H225&gt;0,H225+SUM(H220:H223),"/"))</f>
      </c>
      <c r="I226" s="36">
        <f>IF(I221="/","/",IF(I225&gt;0,I225+SUM(I220:I223),"/"))</f>
      </c>
      <c r="J226" s="36">
        <f>IF(J221="/","/",IF(J225&gt;0,J225+SUM(J220:J223),"/"))</f>
      </c>
      <c r="K226" s="36">
        <f>IF(K221="/","/",IF(K225&gt;0,K225+SUM(K220:K223),"/"))</f>
      </c>
      <c r="L226" s="36">
        <f>IF(L221="/","/",IF(L225&gt;0,L225+SUM(L220:L223),"/"))</f>
      </c>
      <c r="M226" s="36">
        <f>IF(M221="/","/",IF(M225&gt;0,M225+SUM(M220:M223),"/"))</f>
      </c>
      <c r="N226" s="36">
        <f>IF(N221="/","/",IF(N225&gt;0,N225+SUM(N220:N223),"/"))</f>
      </c>
      <c r="O226" s="36">
        <f>IF(O221="/","/",IF(O225&gt;0,O225+SUM(O220:O223),"/"))</f>
      </c>
      <c r="P226" s="36">
        <f>IF(SUM(D226:O226)=0,"0",AVERAGEIF(D226:O226,"&lt;&gt;0",D226:O226))</f>
      </c>
      <c r="Q226" s="35"/>
    </row>
    <row r="227">
      <c r="A227" s="34">
        <v>225</v>
      </c>
      <c r="B227" s="40" t="str">
        <v>广西</v>
      </c>
      <c r="C227" s="39" t="str">
        <v>代理购电价格</v>
      </c>
      <c r="D227" s="34">
        <f>'分表8-2025三类细分价'!D593</f>
      </c>
      <c r="E227" s="34">
        <f>'分表8-2025三类细分价'!E593</f>
      </c>
      <c r="F227" s="34">
        <f>'分表8-2025三类细分价'!F593</f>
      </c>
      <c r="G227" s="34">
        <f>'分表8-2025三类细分价'!G593</f>
      </c>
      <c r="H227" s="34">
        <f>'分表8-2025三类细分价'!H593</f>
      </c>
      <c r="I227" s="34">
        <f>'分表8-2025三类细分价'!I593</f>
      </c>
      <c r="J227" s="34">
        <f>'分表8-2025三类细分价'!J593</f>
      </c>
      <c r="K227" s="34">
        <f>'分表8-2025三类细分价'!K593</f>
      </c>
      <c r="L227" s="34">
        <f>'分表8-2025三类细分价'!L593</f>
      </c>
      <c r="M227" s="34">
        <f>'分表8-2025三类细分价'!M593</f>
      </c>
      <c r="N227" s="34">
        <f>'分表8-2025三类细分价'!N593</f>
      </c>
      <c r="O227" s="34">
        <f>'分表8-2025三类细分价'!O593</f>
      </c>
      <c r="P227" s="34">
        <f>IF(SUM(D227:O227)=0,"0",AVERAGEIF(D227:O227,"&lt;&gt;0",D227:O227))</f>
      </c>
      <c r="Q227" s="38"/>
    </row>
    <row r="228">
      <c r="A228" s="34">
        <v>226</v>
      </c>
      <c r="B228" s="40" t="str">
        <v>广西</v>
      </c>
      <c r="C228" s="39" t="str">
        <v>上网环节线损电价</v>
      </c>
      <c r="D228" s="34">
        <f>'分表8-2025三类细分价'!D596</f>
      </c>
      <c r="E228" s="34">
        <f>'分表8-2025三类细分价'!E596</f>
      </c>
      <c r="F228" s="34">
        <f>'分表8-2025三类细分价'!F596</f>
      </c>
      <c r="G228" s="34">
        <f>'分表8-2025三类细分价'!G596</f>
      </c>
      <c r="H228" s="34">
        <f>'分表8-2025三类细分价'!H596</f>
      </c>
      <c r="I228" s="34">
        <f>'分表8-2025三类细分价'!I596</f>
      </c>
      <c r="J228" s="34">
        <f>'分表8-2025三类细分价'!J596</f>
      </c>
      <c r="K228" s="34">
        <f>'分表8-2025三类细分价'!K596</f>
      </c>
      <c r="L228" s="34">
        <f>'分表8-2025三类细分价'!L596</f>
      </c>
      <c r="M228" s="34">
        <f>'分表8-2025三类细分价'!M596</f>
      </c>
      <c r="N228" s="34">
        <f>'分表8-2025三类细分价'!N596</f>
      </c>
      <c r="O228" s="34">
        <f>'分表8-2025三类细分价'!O596</f>
      </c>
      <c r="P228" s="34">
        <f>IF(SUM(D228:O228)=0,"0",AVERAGEIF(D228:O228,"&lt;&gt;0",D228:O228))</f>
      </c>
      <c r="Q228" s="38"/>
    </row>
    <row r="229">
      <c r="A229" s="34">
        <v>227</v>
      </c>
      <c r="B229" s="40" t="str">
        <v>广西</v>
      </c>
      <c r="C229" s="39" t="str">
        <v>电度输配电价</v>
      </c>
      <c r="D229" s="34" cm="1">
        <f t="array" ref="D229:D229">_xlfn.XLOOKUP($C$1,'分表4-电度输配电价'!$C226：'分表4-电度输配电价'!$C233&amp;'分表4-电度输配电价'!$D226：'分表4-电度输配电价'!$D233,'分表4-电度输配电价'!$E226：'分表4-电度输配电价'!$E233)</f>
      </c>
      <c r="E229" s="34" cm="1">
        <f t="array" ref="E229:E229">_xlfn.XLOOKUP($C$1,'分表4-电度输配电价'!$C226：'分表4-电度输配电价'!$C233&amp;'分表4-电度输配电价'!$D226：'分表4-电度输配电价'!$D233,'分表4-电度输配电价'!$E226：'分表4-电度输配电价'!$E233)</f>
      </c>
      <c r="F229" s="34" cm="1">
        <f t="array" ref="F229:F229">_xlfn.XLOOKUP($C$1,'分表4-电度输配电价'!$C226：'分表4-电度输配电价'!$C233&amp;'分表4-电度输配电价'!$D226：'分表4-电度输配电价'!$D233,'分表4-电度输配电价'!$E226：'分表4-电度输配电价'!$E233)</f>
      </c>
      <c r="G229" s="34" cm="1">
        <f t="array" ref="G229:G229">_xlfn.XLOOKUP($C$1,'分表4-电度输配电价'!$C226：'分表4-电度输配电价'!$C233&amp;'分表4-电度输配电价'!$D226：'分表4-电度输配电价'!$D233,'分表4-电度输配电价'!$E226：'分表4-电度输配电价'!$E233)</f>
      </c>
      <c r="H229" s="34" cm="1">
        <f t="array" ref="H229:H229">_xlfn.XLOOKUP($C$1,'分表4-电度输配电价'!$C226：'分表4-电度输配电价'!$C233&amp;'分表4-电度输配电价'!$D226：'分表4-电度输配电价'!$D233,'分表4-电度输配电价'!$E226：'分表4-电度输配电价'!$E233)</f>
      </c>
      <c r="I229" s="34" cm="1">
        <f t="array" ref="I229:I229">_xlfn.XLOOKUP($C$1,'分表4-电度输配电价'!$C226：'分表4-电度输配电价'!$C233&amp;'分表4-电度输配电价'!$D226：'分表4-电度输配电价'!$D233,'分表4-电度输配电价'!$E226：'分表4-电度输配电价'!$E233)</f>
      </c>
      <c r="J229" s="34" cm="1">
        <f t="array" ref="J229:J229">_xlfn.XLOOKUP($C$1,'分表4-电度输配电价'!$C226：'分表4-电度输配电价'!$C233&amp;'分表4-电度输配电价'!$D226：'分表4-电度输配电价'!$D233,'分表4-电度输配电价'!$E226：'分表4-电度输配电价'!$E233)</f>
      </c>
      <c r="K229" s="34" cm="1">
        <f t="array" ref="K229:K229">_xlfn.XLOOKUP($C$1,'分表4-电度输配电价'!$C226：'分表4-电度输配电价'!$C233&amp;'分表4-电度输配电价'!$D226：'分表4-电度输配电价'!$D233,'分表4-电度输配电价'!$E226：'分表4-电度输配电价'!$E233)</f>
      </c>
      <c r="L229" s="34" cm="1">
        <f t="array" ref="L229:L229">_xlfn.XLOOKUP($C$1,'分表4-电度输配电价'!$C226：'分表4-电度输配电价'!$C233&amp;'分表4-电度输配电价'!$D226：'分表4-电度输配电价'!$D233,'分表4-电度输配电价'!$E226：'分表4-电度输配电价'!$E233)</f>
      </c>
      <c r="M229" s="34" cm="1">
        <f t="array" ref="M229:M229">_xlfn.XLOOKUP($C$1,'分表4-电度输配电价'!$C226：'分表4-电度输配电价'!$C233&amp;'分表4-电度输配电价'!$D226：'分表4-电度输配电价'!$D233,'分表4-电度输配电价'!$E226：'分表4-电度输配电价'!$E233)</f>
      </c>
      <c r="N229" s="34" cm="1">
        <f t="array" ref="N229:N229">_xlfn.XLOOKUP($C$1,'分表4-电度输配电价'!$C226：'分表4-电度输配电价'!$C233&amp;'分表4-电度输配电价'!$D226：'分表4-电度输配电价'!$D233,'分表4-电度输配电价'!$E226：'分表4-电度输配电价'!$E233)</f>
      </c>
      <c r="O229" s="34" cm="1">
        <f t="array" ref="O229:O229">_xlfn.XLOOKUP($C$1,'分表4-电度输配电价'!$C226：'分表4-电度输配电价'!$C233&amp;'分表4-电度输配电价'!$D226：'分表4-电度输配电价'!$D233,'分表4-电度输配电价'!$E226：'分表4-电度输配电价'!$E233)</f>
      </c>
      <c r="P229" s="34">
        <f>IF(SUM(D229:O229)=0,"0",AVERAGEIF(D229:O229,"&lt;&gt;0",D229:O229))</f>
      </c>
      <c r="Q229" s="38"/>
    </row>
    <row r="230">
      <c r="A230" s="34">
        <v>228</v>
      </c>
      <c r="B230" s="40" t="str">
        <v>广西</v>
      </c>
      <c r="C230" s="39" t="str">
        <v>政府性基金及附加</v>
      </c>
      <c r="D230" s="34" cm="1">
        <f t="array" ref="D230:D230">_xlfn.XLOOKUP($B$230,'分表5-政府性基金及附加'!$B$2：'分表5-政府性基金及附加'!$B$199,'分表5-政府性基金及附加'!$D$2：'分表5-政府性基金及附加'!$D$199)</f>
      </c>
      <c r="E230" s="34" cm="1">
        <f t="array" ref="E230:E230">_xlfn.XLOOKUP($B$230,'分表5-政府性基金及附加'!$B$2：'分表5-政府性基金及附加'!$B$199,'分表5-政府性基金及附加'!$D$2：'分表5-政府性基金及附加'!$D$199)</f>
      </c>
      <c r="F230" s="34" cm="1">
        <f t="array" ref="F230:F230">_xlfn.XLOOKUP($B$230,'分表5-政府性基金及附加'!$B$2：'分表5-政府性基金及附加'!$B$199,'分表5-政府性基金及附加'!$D$2：'分表5-政府性基金及附加'!$D$199)</f>
      </c>
      <c r="G230" s="34" cm="1">
        <f t="array" ref="G230:G230">_xlfn.XLOOKUP($B$230,'分表5-政府性基金及附加'!$B$2：'分表5-政府性基金及附加'!$B$199,'分表5-政府性基金及附加'!$D$2：'分表5-政府性基金及附加'!$D$199)</f>
      </c>
      <c r="H230" s="34" cm="1">
        <f t="array" ref="H230:H230">_xlfn.XLOOKUP($B$230,'分表5-政府性基金及附加'!$B$2：'分表5-政府性基金及附加'!$B$199,'分表5-政府性基金及附加'!$D$2：'分表5-政府性基金及附加'!$D$199)</f>
      </c>
      <c r="I230" s="34" cm="1">
        <f t="array" ref="I230:I230">_xlfn.XLOOKUP($B$230,'分表5-政府性基金及附加'!$B$2：'分表5-政府性基金及附加'!$B$199,'分表5-政府性基金及附加'!$D$2：'分表5-政府性基金及附加'!$D$199)</f>
      </c>
      <c r="J230" s="34" cm="1">
        <f t="array" ref="J230:J230">_xlfn.XLOOKUP($B$230,'分表5-政府性基金及附加'!$B$2：'分表5-政府性基金及附加'!$B$199,'分表5-政府性基金及附加'!$D$2：'分表5-政府性基金及附加'!$D$199)</f>
      </c>
      <c r="K230" s="34" cm="1">
        <f t="array" ref="K230:K230">_xlfn.XLOOKUP($B$230,'分表5-政府性基金及附加'!$B$2：'分表5-政府性基金及附加'!$B$199,'分表5-政府性基金及附加'!$D$2：'分表5-政府性基金及附加'!$D$199)</f>
      </c>
      <c r="L230" s="34" cm="1">
        <f t="array" ref="L230:L230">_xlfn.XLOOKUP($B$230,'分表5-政府性基金及附加'!$B$2：'分表5-政府性基金及附加'!$B$199,'分表5-政府性基金及附加'!$D$2：'分表5-政府性基金及附加'!$D$199)</f>
      </c>
      <c r="M230" s="34" cm="1">
        <f t="array" ref="M230:M230">_xlfn.XLOOKUP($B$230,'分表5-政府性基金及附加'!$B$2：'分表5-政府性基金及附加'!$B$199,'分表5-政府性基金及附加'!$D$2：'分表5-政府性基金及附加'!$D$199)</f>
      </c>
      <c r="N230" s="34" cm="1">
        <f t="array" ref="N230:N230">_xlfn.XLOOKUP($B$230,'分表5-政府性基金及附加'!$B$2：'分表5-政府性基金及附加'!$B$199,'分表5-政府性基金及附加'!$D$2：'分表5-政府性基金及附加'!$D$199)</f>
      </c>
      <c r="O230" s="34" cm="1">
        <f t="array" ref="O230:O230">_xlfn.XLOOKUP($B$230,'分表5-政府性基金及附加'!$B$2：'分表5-政府性基金及附加'!$B$199,'分表5-政府性基金及附加'!$D$2：'分表5-政府性基金及附加'!$D$199)</f>
      </c>
      <c r="P230" s="34">
        <f>IF(SUM(D230:O230)=0,"0",AVERAGEIF(D230:O230,"&lt;&gt;0",D230:O230))</f>
      </c>
      <c r="Q230" s="38"/>
    </row>
    <row r="231">
      <c r="A231" s="34">
        <v>229</v>
      </c>
      <c r="B231" s="40" t="str">
        <v>广西</v>
      </c>
      <c r="C231" s="39" t="str">
        <v>系统运行费折价</v>
      </c>
      <c r="D231" s="34">
        <f>'分表8-2025三类细分价'!D597</f>
      </c>
      <c r="E231" s="34">
        <f>'分表8-2025三类细分价'!E597</f>
      </c>
      <c r="F231" s="34">
        <f>'分表8-2025三类细分价'!F597</f>
      </c>
      <c r="G231" s="34">
        <f>'分表8-2025三类细分价'!G597</f>
      </c>
      <c r="H231" s="34">
        <f>'分表8-2025三类细分价'!H597</f>
      </c>
      <c r="I231" s="34">
        <f>'分表8-2025三类细分价'!I597</f>
      </c>
      <c r="J231" s="34">
        <f>'分表8-2025三类细分价'!J597</f>
      </c>
      <c r="K231" s="34">
        <f>'分表8-2025三类细分价'!K597</f>
      </c>
      <c r="L231" s="34">
        <f>'分表8-2025三类细分价'!L597</f>
      </c>
      <c r="M231" s="34">
        <f>'分表8-2025三类细分价'!M597</f>
      </c>
      <c r="N231" s="34">
        <f>'分表8-2025三类细分价'!N597</f>
      </c>
      <c r="O231" s="34">
        <f>'分表8-2025三类细分价'!O597</f>
      </c>
      <c r="P231" s="34">
        <f>IF(SUM(D231:O231)=0,"0",AVERAGEIF(D231:O231,"&lt;&gt;0",D231:O231))</f>
      </c>
      <c r="Q231" s="38"/>
    </row>
    <row r="232">
      <c r="A232" s="34">
        <v>230</v>
      </c>
      <c r="B232" s="40" t="str">
        <v>广西</v>
      </c>
      <c r="C232" s="39" t="str">
        <v>综合平段电价--电网代购</v>
      </c>
      <c r="D232" s="34">
        <f>IF(D229="/","/",SUM(D227:D231))</f>
      </c>
      <c r="E232" s="34">
        <f>IF(E229="/","/",SUM(E227:E231))</f>
      </c>
      <c r="F232" s="34">
        <f>IF(F229="/","/",SUM(F227:F231))</f>
      </c>
      <c r="G232" s="34">
        <f>IF(G229="/","/",SUM(G227:G231))</f>
      </c>
      <c r="H232" s="34">
        <f>IF(H229="/","/",SUM(H227:H231))</f>
      </c>
      <c r="I232" s="34">
        <f>IF(I229="/","/",SUM(I227:I231))</f>
      </c>
      <c r="J232" s="34">
        <f>IF(J229="/","/",SUM(J227:J231))</f>
      </c>
      <c r="K232" s="34">
        <f>IF(K229="/","/",SUM(K227:K231))</f>
      </c>
      <c r="L232" s="34">
        <f>IF(L229="/","/",SUM(L227:L231))</f>
      </c>
      <c r="M232" s="34">
        <f>IF(M229="/","/",SUM(M227:M231))</f>
      </c>
      <c r="N232" s="34">
        <f>IF(N229="/","/",SUM(N227:N231))</f>
      </c>
      <c r="O232" s="34">
        <f>IF(O229="/","/",SUM(O227:O231))</f>
      </c>
      <c r="P232" s="34">
        <f>IF(SUM(D232:O232)=0,"0",AVERAGEIF(D232:O232,"&lt;&gt;0",D232:O232))</f>
      </c>
      <c r="Q232" s="38"/>
    </row>
    <row r="233">
      <c r="A233" s="34">
        <v>231</v>
      </c>
      <c r="B233" s="40" t="str">
        <v>广西</v>
      </c>
      <c r="C233" s="39" t="str">
        <v>入市交易购电价格</v>
      </c>
      <c r="D233" s="34">
        <f>'分表9-2025交易价格'!D30</f>
      </c>
      <c r="E233" s="34">
        <f>'分表9-2025交易价格'!E30</f>
      </c>
      <c r="F233" s="34">
        <f>'分表9-2025交易价格'!F30</f>
      </c>
      <c r="G233" s="34">
        <f>'分表9-2025交易价格'!G30</f>
      </c>
      <c r="H233" s="34">
        <f>'分表9-2025交易价格'!H30</f>
      </c>
      <c r="I233" s="34">
        <f>'分表9-2025交易价格'!I30</f>
      </c>
      <c r="J233" s="34">
        <f>'分表9-2025交易价格'!J30</f>
      </c>
      <c r="K233" s="34">
        <f>'分表9-2025交易价格'!K30</f>
      </c>
      <c r="L233" s="34">
        <f>'分表9-2025交易价格'!L30</f>
      </c>
      <c r="M233" s="34">
        <f>'分表9-2025交易价格'!M30</f>
      </c>
      <c r="N233" s="34">
        <f>'分表9-2025交易价格'!N30</f>
      </c>
      <c r="O233" s="34">
        <f>'分表9-2025交易价格'!O30</f>
      </c>
      <c r="P233" s="34">
        <f>IF(SUM(D233:O233)=0,"0",AVERAGEIF(D233:O233,"&lt;&gt;0",D233:O233))</f>
      </c>
      <c r="Q233" s="38"/>
    </row>
    <row r="234">
      <c r="A234" s="34">
        <v>232</v>
      </c>
      <c r="B234" s="40" t="str">
        <v>广西</v>
      </c>
      <c r="C234" s="39" t="str">
        <v>综合平段电价--入市交易</v>
      </c>
      <c r="D234" s="34">
        <f>IF(D229="/","/",IF(D233&gt;0,D233+SUM(D228:D231),"/"))</f>
      </c>
      <c r="E234" s="34">
        <f>IF(E229="/","/",IF(E233&gt;0,E233+SUM(E228:E231),"/"))</f>
      </c>
      <c r="F234" s="34">
        <f>IF(F229="/","/",IF(F233&gt;0,F233+SUM(F228:F231),"/"))</f>
      </c>
      <c r="G234" s="34">
        <f>IF(G229="/","/",IF(G233&gt;0,G233+SUM(G228:G231),"/"))</f>
      </c>
      <c r="H234" s="34">
        <f>IF(H229="/","/",IF(H233&gt;0,H233+SUM(H228:H231),"/"))</f>
      </c>
      <c r="I234" s="34">
        <f>IF(I229="/","/",IF(I233&gt;0,I233+SUM(I228:I231),"/"))</f>
      </c>
      <c r="J234" s="34">
        <f>IF(J229="/","/",IF(J233&gt;0,J233+SUM(J228:J231),"/"))</f>
      </c>
      <c r="K234" s="34">
        <f>IF(K229="/","/",IF(K233&gt;0,K233+SUM(K228:K231),"/"))</f>
      </c>
      <c r="L234" s="34">
        <f>IF(L229="/","/",IF(L233&gt;0,L233+SUM(L228:L231),"/"))</f>
      </c>
      <c r="M234" s="34">
        <f>IF(M229="/","/",IF(M233&gt;0,M233+SUM(M228:M231),"/"))</f>
      </c>
      <c r="N234" s="34">
        <f>IF(N229="/","/",IF(N233&gt;0,N233+SUM(N228:N231),"/"))</f>
      </c>
      <c r="O234" s="34">
        <f>IF(O229="/","/",IF(O233&gt;0,O233+SUM(O228:O231),"/"))</f>
      </c>
      <c r="P234" s="34">
        <f>IF(SUM(D234:O234)=0,"0",AVERAGEIF(D234:O234,"&lt;&gt;0",D234:O234))</f>
      </c>
      <c r="Q234" s="38"/>
    </row>
    <row r="235">
      <c r="A235" s="34">
        <v>233</v>
      </c>
      <c r="B235" s="31" t="str">
        <v>云南</v>
      </c>
      <c r="C235" s="37" t="str">
        <v>代理购电价格</v>
      </c>
      <c r="D235" s="36">
        <f>'分表8-2025三类细分价'!D614</f>
      </c>
      <c r="E235" s="36">
        <f>'分表8-2025三类细分价'!E614</f>
      </c>
      <c r="F235" s="36">
        <f>'分表8-2025三类细分价'!F614</f>
      </c>
      <c r="G235" s="36">
        <f>'分表8-2025三类细分价'!G614</f>
      </c>
      <c r="H235" s="36">
        <f>'分表8-2025三类细分价'!H614</f>
      </c>
      <c r="I235" s="36">
        <f>'分表8-2025三类细分价'!I614</f>
      </c>
      <c r="J235" s="36">
        <f>'分表8-2025三类细分价'!J614</f>
      </c>
      <c r="K235" s="36">
        <f>'分表8-2025三类细分价'!K614</f>
      </c>
      <c r="L235" s="36">
        <f>'分表8-2025三类细分价'!L614</f>
      </c>
      <c r="M235" s="36">
        <f>'分表8-2025三类细分价'!M614</f>
      </c>
      <c r="N235" s="36">
        <f>'分表8-2025三类细分价'!N614</f>
      </c>
      <c r="O235" s="36">
        <f>'分表8-2025三类细分价'!O614</f>
      </c>
      <c r="P235" s="36">
        <f>IF(SUM(D235:O235)=0,"0",AVERAGEIF(D235:O235,"&lt;&gt;0",D235:O235))</f>
      </c>
      <c r="Q235" s="35"/>
    </row>
    <row r="236">
      <c r="A236" s="34">
        <v>234</v>
      </c>
      <c r="B236" s="31" t="str">
        <v>云南</v>
      </c>
      <c r="C236" s="37" t="str">
        <v>上网环节线损电价</v>
      </c>
      <c r="D236" s="32">
        <f>'分表8-2025三类细分价'!D617</f>
      </c>
      <c r="E236" s="32">
        <f>'分表8-2025三类细分价'!E617</f>
      </c>
      <c r="F236" s="32">
        <f>'分表8-2025三类细分价'!F617</f>
      </c>
      <c r="G236" s="32">
        <f>'分表8-2025三类细分价'!G617</f>
      </c>
      <c r="H236" s="32">
        <f>'分表8-2025三类细分价'!H617</f>
      </c>
      <c r="I236" s="32">
        <f>'分表8-2025三类细分价'!I617</f>
      </c>
      <c r="J236" s="32">
        <f>'分表8-2025三类细分价'!J617</f>
      </c>
      <c r="K236" s="32">
        <f>'分表8-2025三类细分价'!K617</f>
      </c>
      <c r="L236" s="32">
        <f>'分表8-2025三类细分价'!L617</f>
      </c>
      <c r="M236" s="32">
        <f>'分表8-2025三类细分价'!M617</f>
      </c>
      <c r="N236" s="32">
        <f>'分表8-2025三类细分价'!N617</f>
      </c>
      <c r="O236" s="32">
        <f>'分表8-2025三类细分价'!O617</f>
      </c>
      <c r="P236" s="36">
        <f>IF(SUM(D236:O236)=0,"0",AVERAGEIF(D236:O236,"&lt;&gt;0",D236:O236))</f>
      </c>
      <c r="Q236" s="35"/>
    </row>
    <row r="237">
      <c r="A237" s="34">
        <v>235</v>
      </c>
      <c r="B237" s="31" t="str">
        <v>云南</v>
      </c>
      <c r="C237" s="37" t="str">
        <v>电度输配电价</v>
      </c>
      <c r="D237" s="36" cm="1">
        <f t="array" ref="D237:D237">_xlfn.XLOOKUP($C$1,'分表4-电度输配电价'!$C234：'分表4-电度输配电价'!$C241&amp;'分表4-电度输配电价'!$D234：'分表4-电度输配电价'!$D241,'分表4-电度输配电价'!$E234：'分表4-电度输配电价'!$E241)</f>
      </c>
      <c r="E237" s="36" cm="1">
        <f t="array" ref="E237:E237">_xlfn.XLOOKUP($C$1,'分表4-电度输配电价'!$C234：'分表4-电度输配电价'!$C241&amp;'分表4-电度输配电价'!$D234：'分表4-电度输配电价'!$D241,'分表4-电度输配电价'!$E234：'分表4-电度输配电价'!$E241)</f>
      </c>
      <c r="F237" s="36" cm="1">
        <f t="array" ref="F237:F237">_xlfn.XLOOKUP($C$1,'分表4-电度输配电价'!$C234：'分表4-电度输配电价'!$C241&amp;'分表4-电度输配电价'!$D234：'分表4-电度输配电价'!$D241,'分表4-电度输配电价'!$E234：'分表4-电度输配电价'!$E241)</f>
      </c>
      <c r="G237" s="36" cm="1">
        <f t="array" ref="G237:G237">_xlfn.XLOOKUP($C$1,'分表4-电度输配电价'!$C234：'分表4-电度输配电价'!$C241&amp;'分表4-电度输配电价'!$D234：'分表4-电度输配电价'!$D241,'分表4-电度输配电价'!$E234：'分表4-电度输配电价'!$E241)</f>
      </c>
      <c r="H237" s="36" cm="1">
        <f t="array" ref="H237:H237">_xlfn.XLOOKUP($C$1,'分表4-电度输配电价'!$C234：'分表4-电度输配电价'!$C241&amp;'分表4-电度输配电价'!$D234：'分表4-电度输配电价'!$D241,'分表4-电度输配电价'!$E234：'分表4-电度输配电价'!$E241)</f>
      </c>
      <c r="I237" s="36" cm="1">
        <f t="array" ref="I237:I237">_xlfn.XLOOKUP($C$1,'分表4-电度输配电价'!$C234：'分表4-电度输配电价'!$C241&amp;'分表4-电度输配电价'!$D234：'分表4-电度输配电价'!$D241,'分表4-电度输配电价'!$E234：'分表4-电度输配电价'!$E241)</f>
      </c>
      <c r="J237" s="36" cm="1">
        <f t="array" ref="J237:J237">_xlfn.XLOOKUP($C$1,'分表4-电度输配电价'!$C234：'分表4-电度输配电价'!$C241&amp;'分表4-电度输配电价'!$D234：'分表4-电度输配电价'!$D241,'分表4-电度输配电价'!$E234：'分表4-电度输配电价'!$E241)</f>
      </c>
      <c r="K237" s="36" cm="1">
        <f t="array" ref="K237:K237">_xlfn.XLOOKUP($C$1,'分表4-电度输配电价'!$C234：'分表4-电度输配电价'!$C241&amp;'分表4-电度输配电价'!$D234：'分表4-电度输配电价'!$D241,'分表4-电度输配电价'!$E234：'分表4-电度输配电价'!$E241)</f>
      </c>
      <c r="L237" s="36" cm="1">
        <f t="array" ref="L237:L237">_xlfn.XLOOKUP($C$1,'分表4-电度输配电价'!$C234：'分表4-电度输配电价'!$C241&amp;'分表4-电度输配电价'!$D234：'分表4-电度输配电价'!$D241,'分表4-电度输配电价'!$E234：'分表4-电度输配电价'!$E241)</f>
      </c>
      <c r="M237" s="36" cm="1">
        <f t="array" ref="M237:M237">_xlfn.XLOOKUP($C$1,'分表4-电度输配电价'!$C234：'分表4-电度输配电价'!$C241&amp;'分表4-电度输配电价'!$D234：'分表4-电度输配电价'!$D241,'分表4-电度输配电价'!$E234：'分表4-电度输配电价'!$E241)</f>
      </c>
      <c r="N237" s="36" cm="1">
        <f t="array" ref="N237:N237">_xlfn.XLOOKUP($C$1,'分表4-电度输配电价'!$C234：'分表4-电度输配电价'!$C241&amp;'分表4-电度输配电价'!$D234：'分表4-电度输配电价'!$D241,'分表4-电度输配电价'!$E234：'分表4-电度输配电价'!$E241)</f>
      </c>
      <c r="O237" s="36" cm="1">
        <f t="array" ref="O237:O237">_xlfn.XLOOKUP($C$1,'分表4-电度输配电价'!$C234：'分表4-电度输配电价'!$C241&amp;'分表4-电度输配电价'!$D234：'分表4-电度输配电价'!$D241,'分表4-电度输配电价'!$E234：'分表4-电度输配电价'!$E241)</f>
      </c>
      <c r="P237" s="36">
        <f>IF(SUM(D237:O237)=0,"0",AVERAGEIF(D237:O237,"&lt;&gt;0",D237:O237))</f>
      </c>
      <c r="Q237" s="35"/>
    </row>
    <row r="238">
      <c r="A238" s="34">
        <v>236</v>
      </c>
      <c r="B238" s="31" t="str">
        <v>云南</v>
      </c>
      <c r="C238" s="37" t="str">
        <v>政府性基金及附加</v>
      </c>
      <c r="D238" s="36" cm="1">
        <f t="array" ref="D238:D238">_xlfn.XLOOKUP($B$238,'分表5-政府性基金及附加'!$B$2：'分表5-政府性基金及附加'!$B$199,'分表5-政府性基金及附加'!$D$2：'分表5-政府性基金及附加'!$D$199)</f>
      </c>
      <c r="E238" s="36" cm="1">
        <f t="array" ref="E238:E238">_xlfn.XLOOKUP($B$238,'分表5-政府性基金及附加'!$B$2：'分表5-政府性基金及附加'!$B$199,'分表5-政府性基金及附加'!$D$2：'分表5-政府性基金及附加'!$D$199)</f>
      </c>
      <c r="F238" s="36" cm="1">
        <f t="array" ref="F238:F238">_xlfn.XLOOKUP($B$238,'分表5-政府性基金及附加'!$B$2：'分表5-政府性基金及附加'!$B$199,'分表5-政府性基金及附加'!$D$2：'分表5-政府性基金及附加'!$D$199)</f>
      </c>
      <c r="G238" s="36" cm="1">
        <f t="array" ref="G238:G238">_xlfn.XLOOKUP($B$238,'分表5-政府性基金及附加'!$B$2：'分表5-政府性基金及附加'!$B$199,'分表5-政府性基金及附加'!$D$2：'分表5-政府性基金及附加'!$D$199)</f>
      </c>
      <c r="H238" s="36" cm="1">
        <f t="array" ref="H238:H238">_xlfn.XLOOKUP($B$238,'分表5-政府性基金及附加'!$B$2：'分表5-政府性基金及附加'!$B$199,'分表5-政府性基金及附加'!$D$2：'分表5-政府性基金及附加'!$D$199)</f>
      </c>
      <c r="I238" s="36" cm="1">
        <f t="array" ref="I238:I238">_xlfn.XLOOKUP($B$238,'分表5-政府性基金及附加'!$B$2：'分表5-政府性基金及附加'!$B$199,'分表5-政府性基金及附加'!$D$2：'分表5-政府性基金及附加'!$D$199)</f>
      </c>
      <c r="J238" s="36" cm="1">
        <f t="array" ref="J238:J238">_xlfn.XLOOKUP($B$238,'分表5-政府性基金及附加'!$B$2：'分表5-政府性基金及附加'!$B$199,'分表5-政府性基金及附加'!$D$2：'分表5-政府性基金及附加'!$D$199)</f>
      </c>
      <c r="K238" s="36" cm="1">
        <f t="array" ref="K238:K238">_xlfn.XLOOKUP($B$238,'分表5-政府性基金及附加'!$B$2：'分表5-政府性基金及附加'!$B$199,'分表5-政府性基金及附加'!$D$2：'分表5-政府性基金及附加'!$D$199)</f>
      </c>
      <c r="L238" s="36" cm="1">
        <f t="array" ref="L238:L238">_xlfn.XLOOKUP($B$238,'分表5-政府性基金及附加'!$B$2：'分表5-政府性基金及附加'!$B$199,'分表5-政府性基金及附加'!$D$2：'分表5-政府性基金及附加'!$D$199)</f>
      </c>
      <c r="M238" s="36" cm="1">
        <f t="array" ref="M238:M238">_xlfn.XLOOKUP($B$238,'分表5-政府性基金及附加'!$B$2：'分表5-政府性基金及附加'!$B$199,'分表5-政府性基金及附加'!$D$2：'分表5-政府性基金及附加'!$D$199)</f>
      </c>
      <c r="N238" s="36" cm="1">
        <f t="array" ref="N238:N238">_xlfn.XLOOKUP($B$238,'分表5-政府性基金及附加'!$B$2：'分表5-政府性基金及附加'!$B$199,'分表5-政府性基金及附加'!$D$2：'分表5-政府性基金及附加'!$D$199)</f>
      </c>
      <c r="O238" s="36" cm="1">
        <f t="array" ref="O238:O238">_xlfn.XLOOKUP($B$238,'分表5-政府性基金及附加'!$B$2：'分表5-政府性基金及附加'!$B$199,'分表5-政府性基金及附加'!$D$2：'分表5-政府性基金及附加'!$D$199)</f>
      </c>
      <c r="P238" s="36">
        <f>IF(SUM(D238:O238)=0,"0",AVERAGEIF(D238:O238,"&lt;&gt;0",D238:O238))</f>
      </c>
      <c r="Q238" s="35"/>
    </row>
    <row r="239">
      <c r="A239" s="34">
        <v>237</v>
      </c>
      <c r="B239" s="31" t="str">
        <v>云南</v>
      </c>
      <c r="C239" s="37" t="str">
        <v>系统运行费折价</v>
      </c>
      <c r="D239" s="32">
        <f>'分表8-2025三类细分价'!D618</f>
      </c>
      <c r="E239" s="32">
        <f>'分表8-2025三类细分价'!E618</f>
      </c>
      <c r="F239" s="32">
        <f>'分表8-2025三类细分价'!F618</f>
      </c>
      <c r="G239" s="32">
        <f>'分表8-2025三类细分价'!G618</f>
      </c>
      <c r="H239" s="32">
        <f>'分表8-2025三类细分价'!H618</f>
      </c>
      <c r="I239" s="32">
        <f>'分表8-2025三类细分价'!I618</f>
      </c>
      <c r="J239" s="32">
        <f>'分表8-2025三类细分价'!J618</f>
      </c>
      <c r="K239" s="32">
        <f>'分表8-2025三类细分价'!K618</f>
      </c>
      <c r="L239" s="32">
        <f>'分表8-2025三类细分价'!L618</f>
      </c>
      <c r="M239" s="32">
        <f>'分表8-2025三类细分价'!M618</f>
      </c>
      <c r="N239" s="32">
        <f>'分表8-2025三类细分价'!N618</f>
      </c>
      <c r="O239" s="32">
        <f>'分表8-2025三类细分价'!O618</f>
      </c>
      <c r="P239" s="36">
        <f>IF(SUM(D239:O239)=0,"0",AVERAGEIF(D239:O239,"&lt;&gt;0",D239:O239))</f>
      </c>
      <c r="Q239" s="35"/>
    </row>
    <row r="240">
      <c r="A240" s="34">
        <v>238</v>
      </c>
      <c r="B240" s="31" t="str">
        <v>云南</v>
      </c>
      <c r="C240" s="37" t="str">
        <v>综合平段电价--电网代购</v>
      </c>
      <c r="D240" s="36">
        <f>IF(D237="/","/",SUM(D235:D239))</f>
      </c>
      <c r="E240" s="36">
        <f>IF(E237="/","/",SUM(E235:E239))</f>
      </c>
      <c r="F240" s="36">
        <f>IF(F237="/","/",SUM(F235:F239))</f>
      </c>
      <c r="G240" s="36">
        <f>IF(G237="/","/",SUM(G235:G239))</f>
      </c>
      <c r="H240" s="36">
        <f>IF(H237="/","/",SUM(H235:H239))</f>
      </c>
      <c r="I240" s="36">
        <f>IF(I237="/","/",SUM(I235:I239))</f>
      </c>
      <c r="J240" s="36">
        <f>IF(J237="/","/",SUM(J235:J239))</f>
      </c>
      <c r="K240" s="36">
        <f>IF(K237="/","/",SUM(K235:K239))</f>
      </c>
      <c r="L240" s="36">
        <f>IF(L237="/","/",SUM(L235:L239))</f>
      </c>
      <c r="M240" s="36">
        <f>IF(M237="/","/",SUM(M235:M239))</f>
      </c>
      <c r="N240" s="36">
        <f>IF(N237="/","/",SUM(N235:N239))</f>
      </c>
      <c r="O240" s="36">
        <f>IF(O237="/","/",SUM(O235:O239))</f>
      </c>
      <c r="P240" s="36">
        <f>IF(SUM(D240:O240)=0,"0",AVERAGEIF(D240:O240,"&lt;&gt;0",D240:O240))</f>
      </c>
      <c r="Q240" s="35"/>
    </row>
    <row r="241">
      <c r="A241" s="34">
        <v>239</v>
      </c>
      <c r="B241" s="31" t="str">
        <v>云南</v>
      </c>
      <c r="C241" s="37" t="str">
        <v>入市交易购电价格</v>
      </c>
      <c r="D241" s="32">
        <f>'分表9-2025交易价格'!D31</f>
      </c>
      <c r="E241" s="32">
        <f>'分表9-2025交易价格'!E31</f>
      </c>
      <c r="F241" s="32">
        <f>'分表9-2025交易价格'!F31</f>
      </c>
      <c r="G241" s="32">
        <f>'分表9-2025交易价格'!G31</f>
      </c>
      <c r="H241" s="32">
        <f>'分表9-2025交易价格'!H31</f>
      </c>
      <c r="I241" s="32">
        <f>'分表9-2025交易价格'!I31</f>
      </c>
      <c r="J241" s="32">
        <f>'分表9-2025交易价格'!J31</f>
      </c>
      <c r="K241" s="32">
        <f>'分表9-2025交易价格'!K31</f>
      </c>
      <c r="L241" s="32">
        <f>'分表9-2025交易价格'!L31</f>
      </c>
      <c r="M241" s="32">
        <f>'分表9-2025交易价格'!M31</f>
      </c>
      <c r="N241" s="32">
        <f>'分表9-2025交易价格'!N31</f>
      </c>
      <c r="O241" s="32">
        <f>'分表9-2025交易价格'!O31</f>
      </c>
      <c r="P241" s="36">
        <f>IF(SUM(D241:O241)=0,"0",AVERAGEIF(D241:O241,"&lt;&gt;0",D241:O241))</f>
      </c>
      <c r="Q241" s="35"/>
    </row>
    <row r="242">
      <c r="A242" s="34">
        <v>240</v>
      </c>
      <c r="B242" s="31" t="str">
        <v>云南</v>
      </c>
      <c r="C242" s="37" t="str">
        <v>综合平段电价--入市交易</v>
      </c>
      <c r="D242" s="36">
        <f>IF(D237="/","/",IF(D241&gt;0,D241+SUM(D236:D239),"/"))</f>
      </c>
      <c r="E242" s="36">
        <f>IF(E237="/","/",IF(E241&gt;0,E241+SUM(E236:E239),"/"))</f>
      </c>
      <c r="F242" s="36">
        <f>IF(F237="/","/",IF(F241&gt;0,F241+SUM(F236:F239),"/"))</f>
      </c>
      <c r="G242" s="36">
        <f>IF(G237="/","/",IF(G241&gt;0,G241+SUM(G236:G239),"/"))</f>
      </c>
      <c r="H242" s="36">
        <f>IF(H237="/","/",IF(H241&gt;0,H241+SUM(H236:H239),"/"))</f>
      </c>
      <c r="I242" s="36">
        <f>IF(I237="/","/",IF(I241&gt;0,I241+SUM(I236:I239),"/"))</f>
      </c>
      <c r="J242" s="36">
        <f>IF(J237="/","/",IF(J241&gt;0,J241+SUM(J236:J239),"/"))</f>
      </c>
      <c r="K242" s="36">
        <f>IF(K237="/","/",IF(K241&gt;0,K241+SUM(K236:K239),"/"))</f>
      </c>
      <c r="L242" s="36">
        <f>IF(L237="/","/",IF(L241&gt;0,L241+SUM(L236:L239),"/"))</f>
      </c>
      <c r="M242" s="36">
        <f>IF(M237="/","/",IF(M241&gt;0,M241+SUM(M236:M239),"/"))</f>
      </c>
      <c r="N242" s="36">
        <f>IF(N237="/","/",IF(N241&gt;0,N241+SUM(N236:N239),"/"))</f>
      </c>
      <c r="O242" s="36">
        <f>IF(O237="/","/",IF(O241&gt;0,O241+SUM(O236:O239),"/"))</f>
      </c>
      <c r="P242" s="36">
        <f>IF(SUM(D242:O242)=0,"0",AVERAGEIF(D242:O242,"&lt;&gt;0",D242:O242))</f>
      </c>
      <c r="Q242" s="35"/>
    </row>
    <row r="243">
      <c r="A243" s="34">
        <v>241</v>
      </c>
      <c r="B243" s="40" t="str">
        <v>贵州</v>
      </c>
      <c r="C243" s="39" t="str">
        <v>代理购电价格</v>
      </c>
      <c r="D243" s="34">
        <f>'分表8-2025三类细分价'!D635</f>
      </c>
      <c r="E243" s="34">
        <f>'分表8-2025三类细分价'!E635</f>
      </c>
      <c r="F243" s="34">
        <f>'分表8-2025三类细分价'!F635</f>
      </c>
      <c r="G243" s="34">
        <f>'分表8-2025三类细分价'!G635</f>
      </c>
      <c r="H243" s="34">
        <f>'分表8-2025三类细分价'!H635</f>
      </c>
      <c r="I243" s="34">
        <f>'分表8-2025三类细分价'!I635</f>
      </c>
      <c r="J243" s="34">
        <f>'分表8-2025三类细分价'!J635</f>
      </c>
      <c r="K243" s="34">
        <f>'分表8-2025三类细分价'!K635</f>
      </c>
      <c r="L243" s="34">
        <f>'分表8-2025三类细分价'!L635</f>
      </c>
      <c r="M243" s="34">
        <f>'分表8-2025三类细分价'!M635</f>
      </c>
      <c r="N243" s="34">
        <f>'分表8-2025三类细分价'!N635</f>
      </c>
      <c r="O243" s="34">
        <f>'分表8-2025三类细分价'!O635</f>
      </c>
      <c r="P243" s="34">
        <f>IF(SUM(D243:O243)=0,"0",AVERAGEIF(D243:O243,"&lt;&gt;0",D243:O243))</f>
      </c>
      <c r="Q243" s="38"/>
    </row>
    <row r="244">
      <c r="A244" s="34">
        <v>242</v>
      </c>
      <c r="B244" s="40" t="str">
        <v>贵州</v>
      </c>
      <c r="C244" s="39" t="str">
        <v>上网环节线损电价</v>
      </c>
      <c r="D244" s="34">
        <f>'分表8-2025三类细分价'!D638</f>
      </c>
      <c r="E244" s="34">
        <f>'分表8-2025三类细分价'!E638</f>
      </c>
      <c r="F244" s="34">
        <f>'分表8-2025三类细分价'!F638</f>
      </c>
      <c r="G244" s="34">
        <f>'分表8-2025三类细分价'!G638</f>
      </c>
      <c r="H244" s="34">
        <f>'分表8-2025三类细分价'!H638</f>
      </c>
      <c r="I244" s="34">
        <f>'分表8-2025三类细分价'!I638</f>
      </c>
      <c r="J244" s="34">
        <f>'分表8-2025三类细分价'!J638</f>
      </c>
      <c r="K244" s="34">
        <f>'分表8-2025三类细分价'!K638</f>
      </c>
      <c r="L244" s="34">
        <f>'分表8-2025三类细分价'!L638</f>
      </c>
      <c r="M244" s="34">
        <f>'分表8-2025三类细分价'!M638</f>
      </c>
      <c r="N244" s="34">
        <f>'分表8-2025三类细分价'!N638</f>
      </c>
      <c r="O244" s="34">
        <f>'分表8-2025三类细分价'!O638</f>
      </c>
      <c r="P244" s="34">
        <f>IF(SUM(D244:O244)=0,"0",AVERAGEIF(D244:O244,"&lt;&gt;0",D244:O244))</f>
      </c>
      <c r="Q244" s="38"/>
    </row>
    <row r="245">
      <c r="A245" s="34">
        <v>243</v>
      </c>
      <c r="B245" s="40" t="str">
        <v>贵州</v>
      </c>
      <c r="C245" s="39" t="str">
        <v>电度输配电价</v>
      </c>
      <c r="D245" s="34" cm="1">
        <f t="array" ref="D245:D245">_xlfn.XLOOKUP($C$1,'分表4-电度输配电价'!$C242：'分表4-电度输配电价'!$C249&amp;'分表4-电度输配电价'!$D242：'分表4-电度输配电价'!$D249,'分表4-电度输配电价'!$E242：'分表4-电度输配电价'!$E249)</f>
      </c>
      <c r="E245" s="34" cm="1">
        <f t="array" ref="E245:E245">_xlfn.XLOOKUP($C$1,'分表4-电度输配电价'!$C242：'分表4-电度输配电价'!$C249&amp;'分表4-电度输配电价'!$D242：'分表4-电度输配电价'!$D249,'分表4-电度输配电价'!$E242：'分表4-电度输配电价'!$E249)</f>
      </c>
      <c r="F245" s="34" cm="1">
        <f t="array" ref="F245:F245">_xlfn.XLOOKUP($C$1,'分表4-电度输配电价'!$C242：'分表4-电度输配电价'!$C249&amp;'分表4-电度输配电价'!$D242：'分表4-电度输配电价'!$D249,'分表4-电度输配电价'!$E242：'分表4-电度输配电价'!$E249)</f>
      </c>
      <c r="G245" s="34" cm="1">
        <f t="array" ref="G245:G245">_xlfn.XLOOKUP($C$1,'分表4-电度输配电价'!$C242：'分表4-电度输配电价'!$C249&amp;'分表4-电度输配电价'!$D242：'分表4-电度输配电价'!$D249,'分表4-电度输配电价'!$E242：'分表4-电度输配电价'!$E249)</f>
      </c>
      <c r="H245" s="34" cm="1">
        <f t="array" ref="H245:H245">_xlfn.XLOOKUP($C$1,'分表4-电度输配电价'!$C242：'分表4-电度输配电价'!$C249&amp;'分表4-电度输配电价'!$D242：'分表4-电度输配电价'!$D249,'分表4-电度输配电价'!$E242：'分表4-电度输配电价'!$E249)</f>
      </c>
      <c r="I245" s="34" cm="1">
        <f t="array" ref="I245:I245">_xlfn.XLOOKUP($C$1,'分表4-电度输配电价'!$C242：'分表4-电度输配电价'!$C249&amp;'分表4-电度输配电价'!$D242：'分表4-电度输配电价'!$D249,'分表4-电度输配电价'!$E242：'分表4-电度输配电价'!$E249)</f>
      </c>
      <c r="J245" s="34" cm="1">
        <f t="array" ref="J245:J245">_xlfn.XLOOKUP($C$1,'分表4-电度输配电价'!$C242：'分表4-电度输配电价'!$C249&amp;'分表4-电度输配电价'!$D242：'分表4-电度输配电价'!$D249,'分表4-电度输配电价'!$E242：'分表4-电度输配电价'!$E249)</f>
      </c>
      <c r="K245" s="34" cm="1">
        <f t="array" ref="K245:K245">_xlfn.XLOOKUP($C$1,'分表4-电度输配电价'!$C242：'分表4-电度输配电价'!$C249&amp;'分表4-电度输配电价'!$D242：'分表4-电度输配电价'!$D249,'分表4-电度输配电价'!$E242：'分表4-电度输配电价'!$E249)</f>
      </c>
      <c r="L245" s="34" cm="1">
        <f t="array" ref="L245:L245">_xlfn.XLOOKUP($C$1,'分表4-电度输配电价'!$C242：'分表4-电度输配电价'!$C249&amp;'分表4-电度输配电价'!$D242：'分表4-电度输配电价'!$D249,'分表4-电度输配电价'!$E242：'分表4-电度输配电价'!$E249)</f>
      </c>
      <c r="M245" s="34" cm="1">
        <f t="array" ref="M245:M245">_xlfn.XLOOKUP($C$1,'分表4-电度输配电价'!$C242：'分表4-电度输配电价'!$C249&amp;'分表4-电度输配电价'!$D242：'分表4-电度输配电价'!$D249,'分表4-电度输配电价'!$E242：'分表4-电度输配电价'!$E249)</f>
      </c>
      <c r="N245" s="34" cm="1">
        <f t="array" ref="N245:N245">_xlfn.XLOOKUP($C$1,'分表4-电度输配电价'!$C242：'分表4-电度输配电价'!$C249&amp;'分表4-电度输配电价'!$D242：'分表4-电度输配电价'!$D249,'分表4-电度输配电价'!$E242：'分表4-电度输配电价'!$E249)</f>
      </c>
      <c r="O245" s="34" cm="1">
        <f t="array" ref="O245:O245">_xlfn.XLOOKUP($C$1,'分表4-电度输配电价'!$C242：'分表4-电度输配电价'!$C249&amp;'分表4-电度输配电价'!$D242：'分表4-电度输配电价'!$D249,'分表4-电度输配电价'!$E242：'分表4-电度输配电价'!$E249)</f>
      </c>
      <c r="P245" s="34">
        <f>IF(SUM(D245:O245)=0,"0",AVERAGEIF(D245:O245,"&lt;&gt;0",D245:O245))</f>
      </c>
      <c r="Q245" s="38"/>
    </row>
    <row r="246">
      <c r="A246" s="34">
        <v>244</v>
      </c>
      <c r="B246" s="40" t="str">
        <v>贵州</v>
      </c>
      <c r="C246" s="39" t="str">
        <v>政府性基金及附加</v>
      </c>
      <c r="D246" s="34" cm="1">
        <f t="array" ref="D246:D246">_xlfn.XLOOKUP($B$246,'分表5-政府性基金及附加'!$B$2：'分表5-政府性基金及附加'!$B$199,'分表5-政府性基金及附加'!$D$2：'分表5-政府性基金及附加'!$D$199)</f>
      </c>
      <c r="E246" s="34" cm="1">
        <f t="array" ref="E246:E246">_xlfn.XLOOKUP($B$246,'分表5-政府性基金及附加'!$B$2：'分表5-政府性基金及附加'!$B$199,'分表5-政府性基金及附加'!$D$2：'分表5-政府性基金及附加'!$D$199)</f>
      </c>
      <c r="F246" s="34" cm="1">
        <f t="array" ref="F246:F246">_xlfn.XLOOKUP($B$246,'分表5-政府性基金及附加'!$B$2：'分表5-政府性基金及附加'!$B$199,'分表5-政府性基金及附加'!$D$2：'分表5-政府性基金及附加'!$D$199)</f>
      </c>
      <c r="G246" s="34" cm="1">
        <f t="array" ref="G246:G246">_xlfn.XLOOKUP($B$246,'分表5-政府性基金及附加'!$B$2：'分表5-政府性基金及附加'!$B$199,'分表5-政府性基金及附加'!$D$2：'分表5-政府性基金及附加'!$D$199)</f>
      </c>
      <c r="H246" s="34" cm="1">
        <f t="array" ref="H246:H246">_xlfn.XLOOKUP($B$246,'分表5-政府性基金及附加'!$B$2：'分表5-政府性基金及附加'!$B$199,'分表5-政府性基金及附加'!$D$2：'分表5-政府性基金及附加'!$D$199)</f>
      </c>
      <c r="I246" s="34" cm="1">
        <f t="array" ref="I246:I246">_xlfn.XLOOKUP($B$246,'分表5-政府性基金及附加'!$B$2：'分表5-政府性基金及附加'!$B$199,'分表5-政府性基金及附加'!$D$2：'分表5-政府性基金及附加'!$D$199)</f>
      </c>
      <c r="J246" s="34" cm="1">
        <f t="array" ref="J246:J246">_xlfn.XLOOKUP($B$246,'分表5-政府性基金及附加'!$B$2：'分表5-政府性基金及附加'!$B$199,'分表5-政府性基金及附加'!$D$2：'分表5-政府性基金及附加'!$D$199)</f>
      </c>
      <c r="K246" s="34" cm="1">
        <f t="array" ref="K246:K246">_xlfn.XLOOKUP($B$246,'分表5-政府性基金及附加'!$B$2：'分表5-政府性基金及附加'!$B$199,'分表5-政府性基金及附加'!$D$2：'分表5-政府性基金及附加'!$D$199)</f>
      </c>
      <c r="L246" s="34" cm="1">
        <f t="array" ref="L246:L246">_xlfn.XLOOKUP($B$246,'分表5-政府性基金及附加'!$B$2：'分表5-政府性基金及附加'!$B$199,'分表5-政府性基金及附加'!$D$2：'分表5-政府性基金及附加'!$D$199)</f>
      </c>
      <c r="M246" s="34" cm="1">
        <f t="array" ref="M246:M246">_xlfn.XLOOKUP($B$246,'分表5-政府性基金及附加'!$B$2：'分表5-政府性基金及附加'!$B$199,'分表5-政府性基金及附加'!$D$2：'分表5-政府性基金及附加'!$D$199)</f>
      </c>
      <c r="N246" s="34" cm="1">
        <f t="array" ref="N246:N246">_xlfn.XLOOKUP($B$246,'分表5-政府性基金及附加'!$B$2：'分表5-政府性基金及附加'!$B$199,'分表5-政府性基金及附加'!$D$2：'分表5-政府性基金及附加'!$D$199)</f>
      </c>
      <c r="O246" s="34" cm="1">
        <f t="array" ref="O246:O246">_xlfn.XLOOKUP($B$246,'分表5-政府性基金及附加'!$B$2：'分表5-政府性基金及附加'!$B$199,'分表5-政府性基金及附加'!$D$2：'分表5-政府性基金及附加'!$D$199)</f>
      </c>
      <c r="P246" s="34">
        <f>IF(SUM(D246:O246)=0,"0",AVERAGEIF(D246:O246,"&lt;&gt;0",D246:O246))</f>
      </c>
      <c r="Q246" s="38"/>
    </row>
    <row r="247">
      <c r="A247" s="34">
        <v>245</v>
      </c>
      <c r="B247" s="40" t="str">
        <v>贵州</v>
      </c>
      <c r="C247" s="39" t="str">
        <v>系统运行费折价</v>
      </c>
      <c r="D247" s="34">
        <f>'分表8-2025三类细分价'!D639</f>
      </c>
      <c r="E247" s="34">
        <f>'分表8-2025三类细分价'!E639</f>
      </c>
      <c r="F247" s="34">
        <f>'分表8-2025三类细分价'!F639</f>
      </c>
      <c r="G247" s="34">
        <f>'分表8-2025三类细分价'!G639</f>
      </c>
      <c r="H247" s="34">
        <f>'分表8-2025三类细分价'!H639</f>
      </c>
      <c r="I247" s="34">
        <f>'分表8-2025三类细分价'!I639</f>
      </c>
      <c r="J247" s="34">
        <f>'分表8-2025三类细分价'!J639</f>
      </c>
      <c r="K247" s="34">
        <f>'分表8-2025三类细分价'!K639</f>
      </c>
      <c r="L247" s="34">
        <f>'分表8-2025三类细分价'!L639</f>
      </c>
      <c r="M247" s="34">
        <f>'分表8-2025三类细分价'!M639</f>
      </c>
      <c r="N247" s="34">
        <f>'分表8-2025三类细分价'!N639</f>
      </c>
      <c r="O247" s="34">
        <f>'分表8-2025三类细分价'!O639</f>
      </c>
      <c r="P247" s="34">
        <f>IF(SUM(D247:O247)=0,"0",AVERAGEIF(D247:O247,"&lt;&gt;0",D247:O247))</f>
      </c>
      <c r="Q247" s="38"/>
    </row>
    <row r="248">
      <c r="A248" s="34">
        <v>246</v>
      </c>
      <c r="B248" s="40" t="str">
        <v>贵州</v>
      </c>
      <c r="C248" s="39" t="str">
        <v>综合平段电价--电网代购</v>
      </c>
      <c r="D248" s="34">
        <f>IF(D245="/","/",SUM(D243:D247))</f>
      </c>
      <c r="E248" s="34">
        <f>IF(E245="/","/",SUM(E243:E247))</f>
      </c>
      <c r="F248" s="34">
        <f>IF(F245="/","/",SUM(F243:F247))</f>
      </c>
      <c r="G248" s="34">
        <f>IF(G245="/","/",SUM(G243:G247))</f>
      </c>
      <c r="H248" s="34">
        <f>IF(H245="/","/",SUM(H243:H247))</f>
      </c>
      <c r="I248" s="34">
        <f>IF(I245="/","/",SUM(I243:I247))</f>
      </c>
      <c r="J248" s="34">
        <f>IF(J245="/","/",SUM(J243:J247))</f>
      </c>
      <c r="K248" s="34">
        <f>IF(K245="/","/",SUM(K243:K247))</f>
      </c>
      <c r="L248" s="34">
        <f>IF(L245="/","/",SUM(L243:L247))</f>
      </c>
      <c r="M248" s="34">
        <f>IF(M245="/","/",SUM(M243:M247))</f>
      </c>
      <c r="N248" s="34">
        <f>IF(N245="/","/",SUM(N243:N247))</f>
      </c>
      <c r="O248" s="34">
        <f>IF(O245="/","/",SUM(O243:O247))</f>
      </c>
      <c r="P248" s="34">
        <f>IF(SUM(D248:O248)=0,"0",AVERAGEIF(D248:O248,"&lt;&gt;0",D248:O248))</f>
      </c>
      <c r="Q248" s="38"/>
    </row>
    <row r="249">
      <c r="A249" s="34">
        <v>247</v>
      </c>
      <c r="B249" s="40" t="str">
        <v>贵州</v>
      </c>
      <c r="C249" s="39" t="str">
        <v>入市交易购电价格</v>
      </c>
      <c r="D249" s="34">
        <f>'分表9-2025交易价格'!D32</f>
      </c>
      <c r="E249" s="34">
        <f>'分表9-2025交易价格'!E32</f>
      </c>
      <c r="F249" s="34">
        <f>'分表9-2025交易价格'!F32</f>
      </c>
      <c r="G249" s="34">
        <f>'分表9-2025交易价格'!G32</f>
      </c>
      <c r="H249" s="34">
        <f>'分表9-2025交易价格'!H32</f>
      </c>
      <c r="I249" s="34">
        <f>'分表9-2025交易价格'!I32</f>
      </c>
      <c r="J249" s="34">
        <f>'分表9-2025交易价格'!J32</f>
      </c>
      <c r="K249" s="34">
        <f>'分表9-2025交易价格'!K32</f>
      </c>
      <c r="L249" s="34">
        <f>'分表9-2025交易价格'!L32</f>
      </c>
      <c r="M249" s="34">
        <f>'分表9-2025交易价格'!M32</f>
      </c>
      <c r="N249" s="34">
        <f>'分表9-2025交易价格'!N32</f>
      </c>
      <c r="O249" s="34">
        <f>'分表9-2025交易价格'!O32</f>
      </c>
      <c r="P249" s="34">
        <f>IF(SUM(D249:O249)=0,"0",AVERAGEIF(D249:O249,"&lt;&gt;0",D249:O249))</f>
      </c>
      <c r="Q249" s="38"/>
    </row>
    <row r="250">
      <c r="A250" s="34">
        <v>248</v>
      </c>
      <c r="B250" s="40" t="str">
        <v>贵州</v>
      </c>
      <c r="C250" s="39" t="str">
        <v>综合平段电价--入市交易</v>
      </c>
      <c r="D250" s="34">
        <f>IF(D245="/","/",IF(D249&gt;0,D249+SUM(D244:D247),"/"))</f>
      </c>
      <c r="E250" s="34">
        <f>IF(E245="/","/",IF(E249&gt;0,E249+SUM(E244:E247),"/"))</f>
      </c>
      <c r="F250" s="34">
        <f>IF(F245="/","/",IF(F249&gt;0,F249+SUM(F244:F247),"/"))</f>
      </c>
      <c r="G250" s="34">
        <f>IF(G245="/","/",IF(G249&gt;0,G249+SUM(G244:G247),"/"))</f>
      </c>
      <c r="H250" s="34">
        <f>IF(H245="/","/",IF(H249&gt;0,H249+SUM(H244:H247),"/"))</f>
      </c>
      <c r="I250" s="34">
        <f>IF(I245="/","/",IF(I249&gt;0,I249+SUM(I244:I247),"/"))</f>
      </c>
      <c r="J250" s="34">
        <f>IF(J245="/","/",IF(J249&gt;0,J249+SUM(J244:J247),"/"))</f>
      </c>
      <c r="K250" s="34">
        <f>IF(K245="/","/",IF(K249&gt;0,K249+SUM(K244:K247),"/"))</f>
      </c>
      <c r="L250" s="34">
        <f>IF(L245="/","/",IF(L249&gt;0,L249+SUM(L244:L247),"/"))</f>
      </c>
      <c r="M250" s="34">
        <f>IF(M245="/","/",IF(M249&gt;0,M249+SUM(M244:M247),"/"))</f>
      </c>
      <c r="N250" s="34">
        <f>IF(N245="/","/",IF(N249&gt;0,N249+SUM(N244:N247),"/"))</f>
      </c>
      <c r="O250" s="34">
        <f>IF(O245="/","/",IF(O249&gt;0,O249+SUM(O244:O247),"/"))</f>
      </c>
      <c r="P250" s="34">
        <f>IF(SUM(D250:O250)=0,"0",AVERAGEIF(D250:O250,"&lt;&gt;0",D250:O250))</f>
      </c>
      <c r="Q250" s="38"/>
    </row>
    <row r="251">
      <c r="A251" s="34">
        <v>249</v>
      </c>
      <c r="B251" s="31" t="str">
        <v>海南</v>
      </c>
      <c r="C251" s="37" t="str">
        <v>代理购电价格</v>
      </c>
      <c r="D251" s="36">
        <f>'分表8-2025三类细分价'!D656</f>
      </c>
      <c r="E251" s="36">
        <f>'分表8-2025三类细分价'!E656</f>
      </c>
      <c r="F251" s="36">
        <f>'分表8-2025三类细分价'!F656</f>
      </c>
      <c r="G251" s="36">
        <f>'分表8-2025三类细分价'!G656</f>
      </c>
      <c r="H251" s="36">
        <f>'分表8-2025三类细分价'!H656</f>
      </c>
      <c r="I251" s="36">
        <f>'分表8-2025三类细分价'!I656</f>
      </c>
      <c r="J251" s="36">
        <f>'分表8-2025三类细分价'!J656</f>
      </c>
      <c r="K251" s="36">
        <f>'分表8-2025三类细分价'!K656</f>
      </c>
      <c r="L251" s="36">
        <f>'分表8-2025三类细分价'!L656</f>
      </c>
      <c r="M251" s="36">
        <f>'分表8-2025三类细分价'!M656</f>
      </c>
      <c r="N251" s="36">
        <f>'分表8-2025三类细分价'!N656</f>
      </c>
      <c r="O251" s="36">
        <f>'分表8-2025三类细分价'!O656</f>
      </c>
      <c r="P251" s="36">
        <f>IF(SUM(D251:O251)=0,"0",AVERAGEIF(D251:O251,"&lt;&gt;0",D251:O251))</f>
      </c>
      <c r="Q251" s="35"/>
    </row>
    <row r="252">
      <c r="A252" s="34">
        <v>250</v>
      </c>
      <c r="B252" s="31" t="str">
        <v>海南</v>
      </c>
      <c r="C252" s="37" t="str">
        <v>上网环节线损电价</v>
      </c>
      <c r="D252" s="32">
        <f>'分表8-2025三类细分价'!D659</f>
      </c>
      <c r="E252" s="32">
        <f>'分表8-2025三类细分价'!E659</f>
      </c>
      <c r="F252" s="32">
        <f>'分表8-2025三类细分价'!F659</f>
      </c>
      <c r="G252" s="32">
        <f>'分表8-2025三类细分价'!G659</f>
      </c>
      <c r="H252" s="32">
        <f>'分表8-2025三类细分价'!H659</f>
      </c>
      <c r="I252" s="32">
        <f>'分表8-2025三类细分价'!I659</f>
      </c>
      <c r="J252" s="32">
        <f>'分表8-2025三类细分价'!J659</f>
      </c>
      <c r="K252" s="32">
        <f>'分表8-2025三类细分价'!K659</f>
      </c>
      <c r="L252" s="32">
        <f>'分表8-2025三类细分价'!L659</f>
      </c>
      <c r="M252" s="32">
        <f>'分表8-2025三类细分价'!M659</f>
      </c>
      <c r="N252" s="32">
        <f>'分表8-2025三类细分价'!N659</f>
      </c>
      <c r="O252" s="32">
        <f>'分表8-2025三类细分价'!O659</f>
      </c>
      <c r="P252" s="36">
        <f>IF(SUM(D252:O252)=0,"0",AVERAGEIF(D252:O252,"&lt;&gt;0",D252:O252))</f>
      </c>
      <c r="Q252" s="35"/>
    </row>
    <row r="253">
      <c r="A253" s="34">
        <v>251</v>
      </c>
      <c r="B253" s="31" t="str">
        <v>海南</v>
      </c>
      <c r="C253" s="37" t="str">
        <v>电度输配电价</v>
      </c>
      <c r="D253" s="36" cm="1">
        <f t="array" ref="D253:D253">_xlfn.XLOOKUP($C$1,'分表4-电度输配电价'!$C250：'分表4-电度输配电价'!$C257&amp;'分表4-电度输配电价'!$D250：'分表4-电度输配电价'!$D257,'分表4-电度输配电价'!$E250：'分表4-电度输配电价'!$E257)</f>
      </c>
      <c r="E253" s="36" cm="1">
        <f t="array" ref="E253:E253">_xlfn.XLOOKUP($C$1,'分表4-电度输配电价'!$C250：'分表4-电度输配电价'!$C257&amp;'分表4-电度输配电价'!$D250：'分表4-电度输配电价'!$D257,'分表4-电度输配电价'!$E250：'分表4-电度输配电价'!$E257)</f>
      </c>
      <c r="F253" s="36" cm="1">
        <f t="array" ref="F253:F253">_xlfn.XLOOKUP($C$1,'分表4-电度输配电价'!$C250：'分表4-电度输配电价'!$C257&amp;'分表4-电度输配电价'!$D250：'分表4-电度输配电价'!$D257,'分表4-电度输配电价'!$E250：'分表4-电度输配电价'!$E257)</f>
      </c>
      <c r="G253" s="36" cm="1">
        <f t="array" ref="G253:G253">_xlfn.XLOOKUP($C$1,'分表4-电度输配电价'!$C250：'分表4-电度输配电价'!$C257&amp;'分表4-电度输配电价'!$D250：'分表4-电度输配电价'!$D257,'分表4-电度输配电价'!$E250：'分表4-电度输配电价'!$E257)</f>
      </c>
      <c r="H253" s="36" cm="1">
        <f t="array" ref="H253:H253">_xlfn.XLOOKUP($C$1,'分表4-电度输配电价'!$C250：'分表4-电度输配电价'!$C257&amp;'分表4-电度输配电价'!$D250：'分表4-电度输配电价'!$D257,'分表4-电度输配电价'!$E250：'分表4-电度输配电价'!$E257)</f>
      </c>
      <c r="I253" s="36" cm="1">
        <f t="array" ref="I253:I253">_xlfn.XLOOKUP($C$1,'分表4-电度输配电价'!$C250：'分表4-电度输配电价'!$C257&amp;'分表4-电度输配电价'!$D250：'分表4-电度输配电价'!$D257,'分表4-电度输配电价'!$E250：'分表4-电度输配电价'!$E257)</f>
      </c>
      <c r="J253" s="36" cm="1">
        <f t="array" ref="J253:J253">_xlfn.XLOOKUP($C$1,'分表4-电度输配电价'!$C250：'分表4-电度输配电价'!$C257&amp;'分表4-电度输配电价'!$D250：'分表4-电度输配电价'!$D257,'分表4-电度输配电价'!$E250：'分表4-电度输配电价'!$E257)</f>
      </c>
      <c r="K253" s="36" cm="1">
        <f t="array" ref="K253:K253">_xlfn.XLOOKUP($C$1,'分表4-电度输配电价'!$C250：'分表4-电度输配电价'!$C257&amp;'分表4-电度输配电价'!$D250：'分表4-电度输配电价'!$D257,'分表4-电度输配电价'!$E250：'分表4-电度输配电价'!$E257)</f>
      </c>
      <c r="L253" s="36" cm="1">
        <f t="array" ref="L253:L253">_xlfn.XLOOKUP($C$1,'分表4-电度输配电价'!$C250：'分表4-电度输配电价'!$C257&amp;'分表4-电度输配电价'!$D250：'分表4-电度输配电价'!$D257,'分表4-电度输配电价'!$E250：'分表4-电度输配电价'!$E257)</f>
      </c>
      <c r="M253" s="36" cm="1">
        <f t="array" ref="M253:M253">_xlfn.XLOOKUP($C$1,'分表4-电度输配电价'!$C250：'分表4-电度输配电价'!$C257&amp;'分表4-电度输配电价'!$D250：'分表4-电度输配电价'!$D257,'分表4-电度输配电价'!$E250：'分表4-电度输配电价'!$E257)</f>
      </c>
      <c r="N253" s="36" cm="1">
        <f t="array" ref="N253:N253">_xlfn.XLOOKUP($C$1,'分表4-电度输配电价'!$C250：'分表4-电度输配电价'!$C257&amp;'分表4-电度输配电价'!$D250：'分表4-电度输配电价'!$D257,'分表4-电度输配电价'!$E250：'分表4-电度输配电价'!$E257)</f>
      </c>
      <c r="O253" s="36" cm="1">
        <f t="array" ref="O253:O253">_xlfn.XLOOKUP($C$1,'分表4-电度输配电价'!$C250：'分表4-电度输配电价'!$C257&amp;'分表4-电度输配电价'!$D250：'分表4-电度输配电价'!$D257,'分表4-电度输配电价'!$E250：'分表4-电度输配电价'!$E257)</f>
      </c>
      <c r="P253" s="36">
        <f>IF(SUM(D253:O253)=0,"0",AVERAGEIF(D253:O253,"&lt;&gt;0",D253:O253))</f>
      </c>
      <c r="Q253" s="35"/>
    </row>
    <row r="254">
      <c r="A254" s="34">
        <v>252</v>
      </c>
      <c r="B254" s="31" t="str">
        <v>海南</v>
      </c>
      <c r="C254" s="37" t="str">
        <v>政府性基金及附加</v>
      </c>
      <c r="D254" s="36" cm="1">
        <f t="array" ref="D254:D254">_xlfn.XLOOKUP($B$254,'分表5-政府性基金及附加'!$B$2：'分表5-政府性基金及附加'!$B$199,'分表5-政府性基金及附加'!$D$2：'分表5-政府性基金及附加'!$D$199)</f>
      </c>
      <c r="E254" s="36" cm="1">
        <f t="array" ref="E254:E254">_xlfn.XLOOKUP($B$254,'分表5-政府性基金及附加'!$B$2：'分表5-政府性基金及附加'!$B$199,'分表5-政府性基金及附加'!$D$2：'分表5-政府性基金及附加'!$D$199)</f>
      </c>
      <c r="F254" s="36" cm="1">
        <f t="array" ref="F254:F254">_xlfn.XLOOKUP($B$254,'分表5-政府性基金及附加'!$B$2：'分表5-政府性基金及附加'!$B$199,'分表5-政府性基金及附加'!$D$2：'分表5-政府性基金及附加'!$D$199)</f>
      </c>
      <c r="G254" s="36" cm="1">
        <f t="array" ref="G254:G254">_xlfn.XLOOKUP($B$254,'分表5-政府性基金及附加'!$B$2：'分表5-政府性基金及附加'!$B$199,'分表5-政府性基金及附加'!$D$2：'分表5-政府性基金及附加'!$D$199)</f>
      </c>
      <c r="H254" s="36" cm="1">
        <f t="array" ref="H254:H254">_xlfn.XLOOKUP($B$254,'分表5-政府性基金及附加'!$B$2：'分表5-政府性基金及附加'!$B$199,'分表5-政府性基金及附加'!$D$2：'分表5-政府性基金及附加'!$D$199)</f>
      </c>
      <c r="I254" s="36" cm="1">
        <f t="array" ref="I254:I254">_xlfn.XLOOKUP($B$254,'分表5-政府性基金及附加'!$B$2：'分表5-政府性基金及附加'!$B$199,'分表5-政府性基金及附加'!$D$2：'分表5-政府性基金及附加'!$D$199)</f>
      </c>
      <c r="J254" s="36" cm="1">
        <f t="array" ref="J254:J254">_xlfn.XLOOKUP($B$254,'分表5-政府性基金及附加'!$B$2：'分表5-政府性基金及附加'!$B$199,'分表5-政府性基金及附加'!$D$2：'分表5-政府性基金及附加'!$D$199)</f>
      </c>
      <c r="K254" s="36" cm="1">
        <f t="array" ref="K254:K254">_xlfn.XLOOKUP($B$254,'分表5-政府性基金及附加'!$B$2：'分表5-政府性基金及附加'!$B$199,'分表5-政府性基金及附加'!$D$2：'分表5-政府性基金及附加'!$D$199)</f>
      </c>
      <c r="L254" s="36" cm="1">
        <f t="array" ref="L254:L254">_xlfn.XLOOKUP($B$254,'分表5-政府性基金及附加'!$B$2：'分表5-政府性基金及附加'!$B$199,'分表5-政府性基金及附加'!$D$2：'分表5-政府性基金及附加'!$D$199)</f>
      </c>
      <c r="M254" s="36" cm="1">
        <f t="array" ref="M254:M254">_xlfn.XLOOKUP($B$254,'分表5-政府性基金及附加'!$B$2：'分表5-政府性基金及附加'!$B$199,'分表5-政府性基金及附加'!$D$2：'分表5-政府性基金及附加'!$D$199)</f>
      </c>
      <c r="N254" s="36" cm="1">
        <f t="array" ref="N254:N254">_xlfn.XLOOKUP($B$254,'分表5-政府性基金及附加'!$B$2：'分表5-政府性基金及附加'!$B$199,'分表5-政府性基金及附加'!$D$2：'分表5-政府性基金及附加'!$D$199)</f>
      </c>
      <c r="O254" s="36" cm="1">
        <f t="array" ref="O254:O254">_xlfn.XLOOKUP($B$254,'分表5-政府性基金及附加'!$B$2：'分表5-政府性基金及附加'!$B$199,'分表5-政府性基金及附加'!$D$2：'分表5-政府性基金及附加'!$D$199)</f>
      </c>
      <c r="P254" s="36">
        <f>IF(SUM(D254:O254)=0,"0",AVERAGEIF(D254:O254,"&lt;&gt;0",D254:O254))</f>
      </c>
      <c r="Q254" s="35"/>
    </row>
    <row r="255">
      <c r="A255" s="34">
        <v>253</v>
      </c>
      <c r="B255" s="31" t="str">
        <v>海南</v>
      </c>
      <c r="C255" s="37" t="str">
        <v>系统运行费折价</v>
      </c>
      <c r="D255" s="32">
        <f>'分表8-2025三类细分价'!D660</f>
      </c>
      <c r="E255" s="32">
        <f>'分表8-2025三类细分价'!E660</f>
      </c>
      <c r="F255" s="32">
        <f>'分表8-2025三类细分价'!F660</f>
      </c>
      <c r="G255" s="32">
        <f>'分表8-2025三类细分价'!G660</f>
      </c>
      <c r="H255" s="32">
        <f>'分表8-2025三类细分价'!H660</f>
      </c>
      <c r="I255" s="32">
        <f>'分表8-2025三类细分价'!I660</f>
      </c>
      <c r="J255" s="32">
        <f>'分表8-2025三类细分价'!J660</f>
      </c>
      <c r="K255" s="32">
        <f>'分表8-2025三类细分价'!K660</f>
      </c>
      <c r="L255" s="32">
        <f>'分表8-2025三类细分价'!L660</f>
      </c>
      <c r="M255" s="32">
        <f>'分表8-2025三类细分价'!M660</f>
      </c>
      <c r="N255" s="32">
        <f>'分表8-2025三类细分价'!N660</f>
      </c>
      <c r="O255" s="32">
        <f>'分表8-2025三类细分价'!O660</f>
      </c>
      <c r="P255" s="36">
        <f>IF(SUM(D255:O255)=0,"0",AVERAGEIF(D255:O255,"&lt;&gt;0",D255:O255))</f>
      </c>
      <c r="Q255" s="35"/>
    </row>
    <row r="256">
      <c r="A256" s="34">
        <v>254</v>
      </c>
      <c r="B256" s="31" t="str">
        <v>海南</v>
      </c>
      <c r="C256" s="37" t="str">
        <v>综合平段电价--电网代购</v>
      </c>
      <c r="D256" s="36">
        <f>IF(D253="/","/",SUM(D251:D255))</f>
      </c>
      <c r="E256" s="36">
        <f>IF(E253="/","/",SUM(E251:E255))</f>
      </c>
      <c r="F256" s="36">
        <f>IF(F253="/","/",SUM(F251:F255))</f>
      </c>
      <c r="G256" s="36">
        <f>IF(G253="/","/",SUM(G251:G255))</f>
      </c>
      <c r="H256" s="36">
        <f>IF(H253="/","/",SUM(H251:H255))</f>
      </c>
      <c r="I256" s="36">
        <f>IF(I253="/","/",SUM(I251:I255))</f>
      </c>
      <c r="J256" s="36">
        <f>IF(J253="/","/",SUM(J251:J255))</f>
      </c>
      <c r="K256" s="36">
        <f>IF(K253="/","/",SUM(K251:K255))</f>
      </c>
      <c r="L256" s="36">
        <f>IF(L253="/","/",SUM(L251:L255))</f>
      </c>
      <c r="M256" s="36">
        <f>IF(M253="/","/",SUM(M251:M255))</f>
      </c>
      <c r="N256" s="36">
        <f>IF(N253="/","/",SUM(N251:N255))</f>
      </c>
      <c r="O256" s="36">
        <f>IF(O253="/","/",SUM(O251:O255))</f>
      </c>
      <c r="P256" s="36">
        <f>IF(SUM(D256:O256)=0,"0",AVERAGEIF(D256:O256,"&lt;&gt;0",D256:O256))</f>
      </c>
      <c r="Q256" s="35"/>
    </row>
    <row r="257">
      <c r="A257" s="34">
        <v>255</v>
      </c>
      <c r="B257" s="31" t="str">
        <v>海南</v>
      </c>
      <c r="C257" s="37" t="str">
        <v>入市交易购电价格</v>
      </c>
      <c r="D257" s="32">
        <f>'分表9-2025交易价格'!D33</f>
      </c>
      <c r="E257" s="32">
        <f>'分表9-2025交易价格'!E33</f>
      </c>
      <c r="F257" s="32">
        <f>'分表9-2025交易价格'!F33</f>
      </c>
      <c r="G257" s="32">
        <f>'分表9-2025交易价格'!G33</f>
      </c>
      <c r="H257" s="32">
        <f>'分表9-2025交易价格'!H33</f>
      </c>
      <c r="I257" s="32">
        <f>'分表9-2025交易价格'!I33</f>
      </c>
      <c r="J257" s="32">
        <f>'分表9-2025交易价格'!J33</f>
      </c>
      <c r="K257" s="32">
        <f>'分表9-2025交易价格'!K33</f>
      </c>
      <c r="L257" s="32">
        <f>'分表9-2025交易价格'!L33</f>
      </c>
      <c r="M257" s="32">
        <f>'分表9-2025交易价格'!M33</f>
      </c>
      <c r="N257" s="32">
        <f>'分表9-2025交易价格'!N33</f>
      </c>
      <c r="O257" s="32">
        <f>'分表9-2025交易价格'!O33</f>
      </c>
      <c r="P257" s="36">
        <f>IF(SUM(D257:O257)=0,"0",AVERAGEIF(D257:O257,"&lt;&gt;0",D257:O257))</f>
      </c>
      <c r="Q257" s="35"/>
    </row>
    <row r="258">
      <c r="A258" s="34">
        <v>256</v>
      </c>
      <c r="B258" s="31" t="str">
        <v>海南</v>
      </c>
      <c r="C258" s="37" t="str">
        <v>综合平段电价--入市交易</v>
      </c>
      <c r="D258" s="36">
        <f>IF(D253="/","/",IF(D257&gt;0,D257+SUM(D252:D255),"/"))</f>
      </c>
      <c r="E258" s="36">
        <f>IF(E253="/","/",IF(E257&gt;0,E257+SUM(E252:E255),"/"))</f>
      </c>
      <c r="F258" s="36">
        <f>IF(F253="/","/",IF(F257&gt;0,F257+SUM(F252:F255),"/"))</f>
      </c>
      <c r="G258" s="36">
        <f>IF(G253="/","/",IF(G257&gt;0,G257+SUM(G252:G255),"/"))</f>
      </c>
      <c r="H258" s="36">
        <f>IF(H253="/","/",IF(H257&gt;0,H257+SUM(H252:H255),"/"))</f>
      </c>
      <c r="I258" s="36">
        <f>IF(I253="/","/",IF(I257&gt;0,I257+SUM(I252:I255),"/"))</f>
      </c>
      <c r="J258" s="36">
        <f>IF(J253="/","/",IF(J257&gt;0,J257+SUM(J252:J255),"/"))</f>
      </c>
      <c r="K258" s="36">
        <f>IF(K253="/","/",IF(K257&gt;0,K257+SUM(K252:K255),"/"))</f>
      </c>
      <c r="L258" s="36">
        <f>IF(L253="/","/",IF(L257&gt;0,L257+SUM(L252:L255),"/"))</f>
      </c>
      <c r="M258" s="36">
        <f>IF(M253="/","/",IF(M257&gt;0,M257+SUM(M252:M255),"/"))</f>
      </c>
      <c r="N258" s="36">
        <f>IF(N253="/","/",IF(N257&gt;0,N257+SUM(N252:N255),"/"))</f>
      </c>
      <c r="O258" s="36">
        <f>IF(O253="/","/",IF(O257&gt;0,O257+SUM(O252:O255),"/"))</f>
      </c>
      <c r="P258" s="36">
        <f>IF(SUM(D258:O258)=0,"0",AVERAGEIF(D258:O258,"&lt;&gt;0",D258:O258))</f>
      </c>
      <c r="Q258" s="35"/>
    </row>
    <row r="259">
      <c r="A259" s="43"/>
      <c r="B259" s="45"/>
      <c r="C259" s="46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4"/>
    </row>
    <row r="260">
      <c r="A260" s="43"/>
      <c r="B260" s="45"/>
      <c r="C260" s="46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4"/>
    </row>
    <row r="261">
      <c r="A261" s="43"/>
      <c r="B261" s="45"/>
      <c r="C261" s="46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4"/>
    </row>
    <row r="262">
      <c r="A262" s="43"/>
      <c r="B262" s="45"/>
      <c r="C262" s="46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4"/>
    </row>
    <row r="263">
      <c r="A263" s="43"/>
      <c r="B263" s="45"/>
      <c r="C263" s="46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4"/>
    </row>
    <row r="264">
      <c r="A264" s="43"/>
      <c r="B264" s="45"/>
      <c r="C264" s="46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4"/>
    </row>
    <row r="265">
      <c r="A265" s="43"/>
      <c r="B265" s="45"/>
      <c r="C265" s="46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4"/>
    </row>
    <row r="266">
      <c r="A266" s="43"/>
      <c r="B266" s="45"/>
      <c r="C266" s="46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4"/>
    </row>
    <row r="267">
      <c r="A267" s="43"/>
      <c r="B267" s="45"/>
      <c r="C267" s="46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4"/>
    </row>
    <row r="268">
      <c r="A268" s="43"/>
      <c r="B268" s="45"/>
      <c r="C268" s="46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4"/>
    </row>
    <row r="269">
      <c r="A269" s="43"/>
      <c r="B269" s="45"/>
      <c r="C269" s="46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4"/>
    </row>
    <row r="270">
      <c r="A270" s="43"/>
      <c r="B270" s="45"/>
      <c r="C270" s="46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4"/>
    </row>
    <row r="271">
      <c r="A271" s="43"/>
      <c r="B271" s="45"/>
      <c r="C271" s="46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4"/>
    </row>
    <row r="272">
      <c r="A272" s="43"/>
      <c r="B272" s="45"/>
      <c r="C272" s="46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4"/>
    </row>
  </sheetData>
  <dataValidations count="1">
    <dataValidation allowBlank="true" errorStyle="stop" showErrorMessage="true" sqref="Q1" type="list">
      <formula1>"单一制10kV,单一制35kV,单一制110kV,单一制220kV,两部制10kV,两部制35kV,两部制110kV,两部制220kV"</formula1>
    </dataValidation>
  </dataValidations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0"/>
    <col collapsed="false" customWidth="true" hidden="false" max="3" min="3" style="0" width="53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5" min="15" style="0" width="13"/>
    <col collapsed="false" customWidth="true" hidden="false" max="16" min="16" style="0" width="13"/>
    <col collapsed="false" customWidth="true" hidden="false" max="17" min="17" style="0" width="13"/>
  </cols>
  <sheetData>
    <row customHeight="true" ht="19" r="1">
      <c r="A1" s="12" t="str">
        <v>序号</v>
      </c>
      <c r="B1" s="52" t="str">
        <v>省份</v>
      </c>
      <c r="C1" s="11" t="str">
        <v>2025年代理购电价格表</v>
      </c>
      <c r="D1" s="12" t="str">
        <v>1月</v>
      </c>
      <c r="E1" s="12" t="str">
        <v>2月</v>
      </c>
      <c r="F1" s="12" t="str">
        <v>3月</v>
      </c>
      <c r="G1" s="12" t="str">
        <v>4月</v>
      </c>
      <c r="H1" s="12" t="str">
        <v>5月</v>
      </c>
      <c r="I1" s="12" t="str">
        <v>6月</v>
      </c>
      <c r="J1" s="12" t="str">
        <v>7月</v>
      </c>
      <c r="K1" s="12" t="str">
        <v>8月</v>
      </c>
      <c r="L1" s="12" t="str">
        <v>9月</v>
      </c>
      <c r="M1" s="12" t="str">
        <v>10月</v>
      </c>
      <c r="N1" s="12" t="str">
        <v>11月</v>
      </c>
      <c r="O1" s="12" t="str">
        <v>12月</v>
      </c>
      <c r="P1" s="12" t="str">
        <v>年均</v>
      </c>
      <c r="Q1" s="12" t="str">
        <v>趋势图</v>
      </c>
    </row>
    <row r="2">
      <c r="A2" s="15">
        <v>1</v>
      </c>
      <c r="B2" s="15" t="str">
        <v>北京</v>
      </c>
      <c r="C2" s="16" t="str">
        <v>代理工商业购电价格</v>
      </c>
      <c r="D2" s="15">
        <f>D3+D4</f>
      </c>
      <c r="E2" s="15">
        <f>E3+E4</f>
      </c>
      <c r="F2" s="15">
        <f>F3+F4</f>
      </c>
      <c r="G2" s="15">
        <f>G3+G4</f>
      </c>
      <c r="H2" s="15">
        <f>H3+H4</f>
      </c>
      <c r="I2" s="15">
        <f>I3+I4</f>
      </c>
      <c r="J2" s="15">
        <f>J3+J4</f>
      </c>
      <c r="K2" s="15">
        <f>K3+K4</f>
      </c>
      <c r="L2" s="15">
        <f>L3+L4</f>
      </c>
      <c r="M2" s="15">
        <f>M3+M4</f>
      </c>
      <c r="N2" s="15">
        <f>N3+N4</f>
      </c>
      <c r="O2" s="15">
        <f>O3+O4</f>
      </c>
      <c r="P2" s="15">
        <f>IF(SUM(D2:O2)=0,"0",AVERAGEIF(D2:O2,"&lt;&gt;0",D2:O2))</f>
      </c>
      <c r="Q2" s="14"/>
    </row>
    <row customHeight="true" ht="19" r="3">
      <c r="A3" s="15">
        <v>2</v>
      </c>
      <c r="B3" s="15" t="str">
        <v>北京</v>
      </c>
      <c r="C3" s="16" t="str">
        <v>（1）当月平均购电价格</v>
      </c>
      <c r="D3" s="15">
        <v>0.399691</v>
      </c>
      <c r="E3" s="15">
        <v>0.399137</v>
      </c>
      <c r="F3" s="15">
        <v>0.40102</v>
      </c>
      <c r="G3" s="15">
        <v>0.399278</v>
      </c>
      <c r="H3" s="15">
        <v>0.399299</v>
      </c>
      <c r="I3" s="15">
        <v>0.399984</v>
      </c>
      <c r="J3" s="15">
        <v>0.407267</v>
      </c>
      <c r="K3" s="15">
        <v>0.406582</v>
      </c>
      <c r="L3" s="15">
        <v>0.401998</v>
      </c>
      <c r="M3" s="15">
        <v>0.398963</v>
      </c>
      <c r="N3" s="15">
        <v>0.399529</v>
      </c>
      <c r="O3" s="15">
        <v>0.399999</v>
      </c>
      <c r="P3" s="15">
        <f>IF(SUM(D3:O3)=0,"0",AVERAGEIF(D3:O3,"&lt;&gt;0",D3:O3))</f>
      </c>
      <c r="Q3" s="14"/>
    </row>
    <row customHeight="true" ht="19" r="4">
      <c r="A4" s="15">
        <v>3</v>
      </c>
      <c r="B4" s="15" t="str">
        <v>北京</v>
      </c>
      <c r="C4" s="16" t="str">
        <v>（2）历史偏差电费折价</v>
      </c>
      <c r="D4" s="15">
        <v>-0.003747</v>
      </c>
      <c r="E4" s="15">
        <v>-0.008913</v>
      </c>
      <c r="F4" s="15">
        <v>-0.003355</v>
      </c>
      <c r="G4" s="15">
        <v>0.001327</v>
      </c>
      <c r="H4" s="15">
        <v>-0.003028</v>
      </c>
      <c r="I4" s="15">
        <v>-0.000099</v>
      </c>
      <c r="J4" s="15">
        <v>-0.000869</v>
      </c>
      <c r="K4" s="15">
        <v>-0.002018</v>
      </c>
      <c r="L4" s="15">
        <v>-0.000873</v>
      </c>
      <c r="M4" s="15">
        <v>-0.002559</v>
      </c>
      <c r="N4" s="15">
        <v>-0.001875</v>
      </c>
      <c r="O4" s="15">
        <v>-0.002755</v>
      </c>
      <c r="P4" s="15">
        <f>IF(SUM(D4:O4)=0,"0",AVERAGEIF(D4:O4,"&lt;&gt;0",D4:O4))</f>
      </c>
      <c r="Q4" s="14"/>
    </row>
    <row customHeight="true" ht="19" r="5">
      <c r="A5" s="15">
        <v>4</v>
      </c>
      <c r="B5" s="15" t="str">
        <v>北京</v>
      </c>
      <c r="C5" s="16" t="str">
        <v>上网环节线损费用折价</v>
      </c>
      <c r="D5" s="15">
        <v>0.01196</v>
      </c>
      <c r="E5" s="15">
        <v>0.012345</v>
      </c>
      <c r="F5" s="15">
        <v>0.012345</v>
      </c>
      <c r="G5" s="15">
        <v>0.012345</v>
      </c>
      <c r="H5" s="15">
        <v>0.012345</v>
      </c>
      <c r="I5" s="15">
        <v>0.012345</v>
      </c>
      <c r="J5" s="15">
        <v>0.012345</v>
      </c>
      <c r="K5" s="15">
        <v>0.012345</v>
      </c>
      <c r="L5" s="15">
        <v>0.012345</v>
      </c>
      <c r="M5" s="15">
        <v>0.012345</v>
      </c>
      <c r="N5" s="15">
        <v>0.012345</v>
      </c>
      <c r="O5" s="15">
        <v>0.012345</v>
      </c>
      <c r="P5" s="15">
        <f>IF(SUM(D5:O5)=0,"0",AVERAGEIF(D5:O5,"&lt;&gt;0",D5:O5))</f>
      </c>
      <c r="Q5" s="14"/>
    </row>
    <row customHeight="true" ht="19" r="6">
      <c r="A6" s="15">
        <v>5</v>
      </c>
      <c r="B6" s="15" t="str">
        <v>北京</v>
      </c>
      <c r="C6" s="16" t="str">
        <v>系统运行费用折合度电水平</v>
      </c>
      <c r="D6" s="15">
        <f>SUM(D7:D22)</f>
      </c>
      <c r="E6" s="15">
        <f>SUM(E7:E22)</f>
      </c>
      <c r="F6" s="15">
        <f>SUM(F7:F22)</f>
      </c>
      <c r="G6" s="15">
        <f>SUM(G7:G22)</f>
      </c>
      <c r="H6" s="15">
        <f>SUM(H7:H22)</f>
      </c>
      <c r="I6" s="15">
        <f>SUM(I7:I22)</f>
      </c>
      <c r="J6" s="15">
        <f>SUM(J7:J22)</f>
      </c>
      <c r="K6" s="15">
        <f>SUM(K7:K22)</f>
      </c>
      <c r="L6" s="15">
        <f>SUM(L7:L22)</f>
      </c>
      <c r="M6" s="15">
        <f>SUM(M7:M22)</f>
      </c>
      <c r="N6" s="15">
        <f>SUM(N7:N22)</f>
      </c>
      <c r="O6" s="15">
        <f>SUM(O7:O22)</f>
      </c>
      <c r="P6" s="15">
        <f>IF(SUM(D6:O6)=0,"0",AVERAGEIF(D6:O6,"&lt;&gt;0",D6:O6))</f>
      </c>
      <c r="Q6" s="14"/>
    </row>
    <row customHeight="true" ht="19" r="7">
      <c r="A7" s="15">
        <v>6</v>
      </c>
      <c r="B7" s="15" t="str">
        <v>北京</v>
      </c>
      <c r="C7" s="16" t="str">
        <v>（1）辅助服务费用折合度电水平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f>IF(SUM(D7:O7)=0,"0",AVERAGEIF(D7:O7,"&lt;&gt;0",D7:O7))</f>
      </c>
      <c r="Q7" s="14"/>
    </row>
    <row customHeight="true" ht="19" r="8">
      <c r="A8" s="15">
        <v>7</v>
      </c>
      <c r="B8" s="15" t="str">
        <v>北京</v>
      </c>
      <c r="C8" s="39" t="str">
        <v>（2）抽水蓄能容量电费折合度电水平</v>
      </c>
      <c r="D8" s="15">
        <v>0.007781</v>
      </c>
      <c r="E8" s="15">
        <v>0.00961</v>
      </c>
      <c r="F8" s="15">
        <v>0.0096</v>
      </c>
      <c r="G8" s="15">
        <v>0.0098</v>
      </c>
      <c r="H8" s="15">
        <v>0.009052</v>
      </c>
      <c r="I8" s="15">
        <v>0.008001</v>
      </c>
      <c r="J8" s="15">
        <v>0.007148</v>
      </c>
      <c r="K8" s="15">
        <v>0.007116</v>
      </c>
      <c r="L8" s="15">
        <v>0.008505</v>
      </c>
      <c r="M8" s="15">
        <v>0.009922</v>
      </c>
      <c r="N8" s="15">
        <v>0.007875</v>
      </c>
      <c r="O8" s="15">
        <v>0.006624</v>
      </c>
      <c r="P8" s="15">
        <f>IF(SUM(D8:O8)=0,"0",AVERAGEIF(D8:O8,"&lt;&gt;0",D8:O8))</f>
      </c>
      <c r="Q8" s="14"/>
    </row>
    <row customHeight="true" ht="19" r="9">
      <c r="A9" s="15">
        <v>8</v>
      </c>
      <c r="B9" s="15" t="str">
        <v>北京</v>
      </c>
      <c r="C9" s="16" t="str">
        <v>（3）上网环节线损代理采购损益折合度电水平</v>
      </c>
      <c r="D9" s="15">
        <v>0.005318</v>
      </c>
      <c r="E9" s="15">
        <v>0.005653</v>
      </c>
      <c r="F9" s="15">
        <v>0.008815</v>
      </c>
      <c r="G9" s="15">
        <v>0.010447</v>
      </c>
      <c r="H9" s="15">
        <v>0.003618</v>
      </c>
      <c r="I9" s="15">
        <v>-0.000609</v>
      </c>
      <c r="J9" s="15">
        <v>0.006892</v>
      </c>
      <c r="K9" s="15">
        <v>0.000748</v>
      </c>
      <c r="L9" s="15">
        <v>0.003463</v>
      </c>
      <c r="M9" s="15">
        <v>0.002425</v>
      </c>
      <c r="N9" s="15">
        <v>0.002112</v>
      </c>
      <c r="O9" s="15">
        <v>0.001349</v>
      </c>
      <c r="P9" s="15">
        <f>IF(SUM(D9:O9)=0,"0",AVERAGEIF(D9:O9,"&lt;&gt;0",D9:O9))</f>
      </c>
      <c r="Q9" s="14"/>
    </row>
    <row customHeight="true" ht="19" r="10">
      <c r="A10" s="15">
        <v>9</v>
      </c>
      <c r="B10" s="15" t="str">
        <v>北京</v>
      </c>
      <c r="C10" s="16" t="str">
        <v>（4）电价交叉补贴新增损益折合度电水平</v>
      </c>
      <c r="D10" s="15">
        <v>-0.02</v>
      </c>
      <c r="E10" s="15">
        <v>-0.02</v>
      </c>
      <c r="F10" s="15">
        <v>-0.02</v>
      </c>
      <c r="G10" s="15">
        <v>-0.02</v>
      </c>
      <c r="H10" s="15">
        <v>-0.02</v>
      </c>
      <c r="I10" s="15">
        <v>-0.02</v>
      </c>
      <c r="J10" s="15">
        <v>-0.043851</v>
      </c>
      <c r="K10" s="15">
        <v>-0.02</v>
      </c>
      <c r="L10" s="15">
        <v>-0.02</v>
      </c>
      <c r="M10" s="15">
        <v>-0.02</v>
      </c>
      <c r="N10" s="15">
        <v>-0.02</v>
      </c>
      <c r="O10" s="15">
        <v>-0.02</v>
      </c>
      <c r="P10" s="15">
        <f>IF(SUM(D10:O10)=0,"0",AVERAGEIF(D10:O10,"&lt;&gt;0",D10:O10))</f>
      </c>
      <c r="Q10" s="14"/>
    </row>
    <row customHeight="true" ht="19" r="11">
      <c r="A11" s="15">
        <v>10</v>
      </c>
      <c r="B11" s="15" t="str">
        <v>北京</v>
      </c>
      <c r="C11" s="16" t="str">
        <v>（5）煤电容量电费折合度电水平</v>
      </c>
      <c r="D11" s="15">
        <v>0.020079</v>
      </c>
      <c r="E11" s="15">
        <v>0.023888</v>
      </c>
      <c r="F11" s="15">
        <v>0.01389</v>
      </c>
      <c r="G11" s="15">
        <v>0.015882</v>
      </c>
      <c r="H11" s="15">
        <v>0.017334</v>
      </c>
      <c r="I11" s="15">
        <v>0.01404</v>
      </c>
      <c r="J11" s="15">
        <v>0.013954</v>
      </c>
      <c r="K11" s="15">
        <v>0.013159</v>
      </c>
      <c r="L11" s="15">
        <v>0.018851</v>
      </c>
      <c r="M11" s="15">
        <v>0.020479</v>
      </c>
      <c r="N11" s="15">
        <v>0.01461</v>
      </c>
      <c r="O11" s="15">
        <v>0.009635</v>
      </c>
      <c r="P11" s="15">
        <f>IF(SUM(D11:O11)=0,"0",AVERAGEIF(D11:O11,"&lt;&gt;0",D11:O11))</f>
      </c>
      <c r="Q11" s="14"/>
    </row>
    <row customHeight="true" ht="19" r="12">
      <c r="A12" s="15">
        <v>11</v>
      </c>
      <c r="B12" s="15" t="str">
        <v>北京</v>
      </c>
      <c r="C12" s="16" t="str">
        <v>（6）天然气发电容量电费折合度电水平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f>IF(SUM(D12:O12)=0,"0",AVERAGEIF(D12:O12,"&lt;&gt;0",D12:O12))</f>
      </c>
      <c r="Q12" s="14"/>
    </row>
    <row customHeight="true" ht="19" r="13">
      <c r="A13" s="15">
        <v>12</v>
      </c>
      <c r="B13" s="15" t="str">
        <v>北京</v>
      </c>
      <c r="C13" s="16" t="str">
        <v>（7）水电合约价差损益折合度电水平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f>IF(SUM(D13:O13)=0,"0",AVERAGEIF(D13:O13,"&lt;&gt;0",D13:O13))</f>
      </c>
      <c r="Q13" s="14"/>
    </row>
    <row customHeight="true" ht="19" r="14">
      <c r="A14" s="15">
        <v>13</v>
      </c>
      <c r="B14" s="15" t="str">
        <v>北京</v>
      </c>
      <c r="C14" s="16" t="str">
        <v>（8）独立储能容量电费折合度电水平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f>IF(SUM(D14:O14)=0,"0",AVERAGEIF(D14:O14,"&lt;&gt;0",D14:O14))</f>
      </c>
      <c r="Q14" s="14"/>
    </row>
    <row customHeight="true" ht="19" r="15">
      <c r="A15" s="15">
        <v>14</v>
      </c>
      <c r="B15" s="15" t="str">
        <v>北京</v>
      </c>
      <c r="C15" s="16" t="str">
        <v>（9）工商业峰谷分时损益折合度电水平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f>IF(SUM(D15:O15)=0,"0",AVERAGEIF(D15:O15,"&lt;&gt;0",D15:O15))</f>
      </c>
      <c r="Q15" s="14"/>
    </row>
    <row customHeight="true" ht="19" r="16">
      <c r="A16" s="15">
        <v>15</v>
      </c>
      <c r="B16" s="15" t="str">
        <v>北京</v>
      </c>
      <c r="C16" s="16" t="str">
        <v>（10）功率因数调整电费损益折合度电水平</v>
      </c>
      <c r="D16" s="15">
        <v>0.005941</v>
      </c>
      <c r="E16" s="15">
        <v>0.006454</v>
      </c>
      <c r="F16" s="15">
        <v>0.006507</v>
      </c>
      <c r="G16" s="15">
        <v>0.006364</v>
      </c>
      <c r="H16" s="15">
        <v>0.006161</v>
      </c>
      <c r="I16" s="15">
        <v>0.005746</v>
      </c>
      <c r="J16" s="15">
        <v>0.005942</v>
      </c>
      <c r="K16" s="15">
        <v>0.006269</v>
      </c>
      <c r="L16" s="15">
        <v>0.006763</v>
      </c>
      <c r="M16" s="15">
        <v>0.006855</v>
      </c>
      <c r="N16" s="15">
        <v>0.006186</v>
      </c>
      <c r="O16" s="15">
        <v>0.006011</v>
      </c>
      <c r="P16" s="15">
        <f>IF(SUM(D16:O16)=0,"0",AVERAGEIF(D16:O16,"&lt;&gt;0",D16:O16))</f>
      </c>
      <c r="Q16" s="14"/>
    </row>
    <row customHeight="true" ht="19" r="17">
      <c r="A17" s="15">
        <v>16</v>
      </c>
      <c r="B17" s="15" t="str">
        <v>北京</v>
      </c>
      <c r="C17" s="16" t="str">
        <v>（11）新能源可持续发展价格结算机制差价结算费用折合度电水平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f>IF(SUM(D17:O17)=0,"0",AVERAGEIF(D17:O17,"&lt;&gt;0",D17:O17))</f>
      </c>
      <c r="Q17" s="14"/>
    </row>
    <row customHeight="true" ht="19" r="18">
      <c r="A18" s="15">
        <v>17</v>
      </c>
      <c r="B18" s="15" t="str">
        <v>北京</v>
      </c>
      <c r="C18" s="16" t="str">
        <v>（12）趸售电价损益折合度电水平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f>IF(SUM(D18:O18)=0,"0",AVERAGEIF(D18:O18,"&lt;&gt;0",D18:O18))</f>
      </c>
      <c r="Q18" s="14"/>
    </row>
    <row customHeight="true" ht="19" r="19">
      <c r="A19" s="15">
        <v>18</v>
      </c>
      <c r="B19" s="15" t="str">
        <v>北京</v>
      </c>
      <c r="C19" s="39" t="str">
        <v>（13）代理购电价格新增损益折合度电水平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f>IF(SUM(D19:O19)=0,"0",AVERAGEIF(D19:O19,"&lt;&gt;0",D19:O19))</f>
      </c>
      <c r="Q19" s="14"/>
    </row>
    <row customHeight="true" ht="19" r="20">
      <c r="A20" s="15">
        <v>18</v>
      </c>
      <c r="B20" s="15" t="str">
        <v>北京</v>
      </c>
      <c r="C20" s="39" t="str">
        <v>（14）跨省跨区应急调度价差损益折合度电水平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f>IF(SUM(D20:O20)=0,"0",AVERAGEIF(D20:O20,"&lt;&gt;0",D20:O20))</f>
      </c>
      <c r="Q20" s="14"/>
    </row>
    <row customHeight="true" ht="19" r="21">
      <c r="A21" s="15">
        <v>19</v>
      </c>
      <c r="B21" s="15" t="str">
        <v>北京</v>
      </c>
      <c r="C21" s="39" t="str">
        <v>（15）剩余优先发电价差损益度电水平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f>IF(SUM(D21:O21)=0,"0",AVERAGEIF(D21:O21,"&lt;&gt;0",D21:O21))</f>
      </c>
      <c r="Q21" s="14"/>
    </row>
    <row customHeight="true" ht="19" r="22">
      <c r="A22" s="15">
        <v>20</v>
      </c>
      <c r="B22" s="15" t="str">
        <v>北京</v>
      </c>
      <c r="C22" s="39" t="str">
        <v>（16）其他费用折合度电水平</v>
      </c>
      <c r="D22" s="15">
        <v>-0.0089</v>
      </c>
      <c r="E22" s="15">
        <v>-0.0089</v>
      </c>
      <c r="F22" s="15">
        <v>-0.0089</v>
      </c>
      <c r="G22" s="15">
        <v>-0.0089</v>
      </c>
      <c r="H22" s="15">
        <v>-0.0089</v>
      </c>
      <c r="I22" s="15">
        <v>-0.0089</v>
      </c>
      <c r="J22" s="15">
        <v>0.005169</v>
      </c>
      <c r="K22" s="15">
        <v>-0.0089</v>
      </c>
      <c r="L22" s="15">
        <v>-0.0089</v>
      </c>
      <c r="M22" s="15">
        <v>-0.0089</v>
      </c>
      <c r="N22" s="15">
        <v>-0.0089</v>
      </c>
      <c r="O22" s="15">
        <v>-0.0089</v>
      </c>
      <c r="P22" s="15">
        <f>IF(SUM(D22:O22)=0,"0",AVERAGEIF(D22:O22,"&lt;&gt;0",D22:O22))</f>
      </c>
      <c r="Q22" s="14"/>
    </row>
    <row r="23">
      <c r="A23" s="15">
        <v>21</v>
      </c>
      <c r="B23" s="30" t="str">
        <v>天津</v>
      </c>
      <c r="C23" s="27" t="str">
        <v>代理工商业购电价格</v>
      </c>
      <c r="D23" s="30">
        <f>D24+D25</f>
      </c>
      <c r="E23" s="30">
        <f>E24+E25</f>
      </c>
      <c r="F23" s="30">
        <f>F24+F25</f>
      </c>
      <c r="G23" s="30">
        <f>G24+G25</f>
      </c>
      <c r="H23" s="30">
        <f>H24+H25</f>
      </c>
      <c r="I23" s="30">
        <f>I24+I25</f>
      </c>
      <c r="J23" s="30">
        <f>J24+J25</f>
      </c>
      <c r="K23" s="30">
        <f>K24+K25</f>
      </c>
      <c r="L23" s="30">
        <f>L24+L25</f>
      </c>
      <c r="M23" s="30">
        <f>M24+M25</f>
      </c>
      <c r="N23" s="30">
        <f>N24+N25</f>
      </c>
      <c r="O23" s="30">
        <f>O24+O25</f>
      </c>
      <c r="P23" s="30">
        <f>IF(SUM(D23:O23)=0,"0",AVERAGEIF(D23:O23,"&lt;&gt;0",D23:O23))</f>
      </c>
      <c r="Q23" s="29"/>
    </row>
    <row customHeight="true" ht="19" r="24">
      <c r="A24" s="15">
        <v>22</v>
      </c>
      <c r="B24" s="30" t="str">
        <v>天津</v>
      </c>
      <c r="C24" s="27" t="str">
        <v>（1）当月平均购电价格</v>
      </c>
      <c r="D24" s="30">
        <v>0.4117</v>
      </c>
      <c r="E24" s="30">
        <v>0.4108</v>
      </c>
      <c r="F24" s="30">
        <v>0.4</v>
      </c>
      <c r="G24" s="30">
        <v>0.4068</v>
      </c>
      <c r="H24" s="30">
        <v>0.4325</v>
      </c>
      <c r="I24" s="30">
        <v>0.4064</v>
      </c>
      <c r="J24" s="30">
        <v>0.4151</v>
      </c>
      <c r="K24" s="30">
        <v>0.4171</v>
      </c>
      <c r="L24" s="30">
        <v>0.4098</v>
      </c>
      <c r="M24" s="30">
        <v>0.427439</v>
      </c>
      <c r="N24" s="30">
        <v>0.424199</v>
      </c>
      <c r="O24" s="30">
        <v>0.406135</v>
      </c>
      <c r="P24" s="30">
        <f>IF(SUM(D24:O24)=0,"0",AVERAGEIF(D24:O24,"&lt;&gt;0",D24:O24))</f>
      </c>
      <c r="Q24" s="29"/>
    </row>
    <row customHeight="true" ht="19" r="25">
      <c r="A25" s="15">
        <v>23</v>
      </c>
      <c r="B25" s="30" t="str">
        <v>天津</v>
      </c>
      <c r="C25" s="27" t="str">
        <v>（2）历史偏差电费折价</v>
      </c>
      <c r="D25" s="30">
        <v>-0.0008</v>
      </c>
      <c r="E25" s="30">
        <v>0.0004</v>
      </c>
      <c r="F25" s="30">
        <v>0.0105</v>
      </c>
      <c r="G25" s="30">
        <v>0.0121</v>
      </c>
      <c r="H25" s="30">
        <v>0.0082</v>
      </c>
      <c r="I25" s="30">
        <v>0.0028</v>
      </c>
      <c r="J25" s="30">
        <v>0.0001</v>
      </c>
      <c r="K25" s="30">
        <v>0.0069</v>
      </c>
      <c r="L25" s="30">
        <v>0.0052</v>
      </c>
      <c r="M25" s="30">
        <v>0.002177</v>
      </c>
      <c r="N25" s="30">
        <v>0.001251</v>
      </c>
      <c r="O25" s="30">
        <v>-0.020841</v>
      </c>
      <c r="P25" s="30">
        <f>IF(SUM(D25:O25)=0,"0",AVERAGEIF(D25:O25,"&lt;&gt;0",D25:O25))</f>
      </c>
      <c r="Q25" s="29"/>
    </row>
    <row customHeight="true" ht="19" r="26">
      <c r="A26" s="15">
        <v>24</v>
      </c>
      <c r="B26" s="30" t="str">
        <v>天津</v>
      </c>
      <c r="C26" s="27" t="str">
        <v>上网环节线损费用折价</v>
      </c>
      <c r="D26" s="30">
        <v>0.0179</v>
      </c>
      <c r="E26" s="30">
        <v>0.0179</v>
      </c>
      <c r="F26" s="30">
        <v>0.0177</v>
      </c>
      <c r="G26" s="30">
        <v>0.0179</v>
      </c>
      <c r="H26" s="30">
        <v>0.0184</v>
      </c>
      <c r="I26" s="30">
        <v>0.0178</v>
      </c>
      <c r="J26" s="30">
        <v>0.0181</v>
      </c>
      <c r="K26" s="30">
        <v>0.0181</v>
      </c>
      <c r="L26" s="30">
        <v>0.0179</v>
      </c>
      <c r="M26" s="30">
        <v>0.018182</v>
      </c>
      <c r="N26" s="30">
        <v>0.01821</v>
      </c>
      <c r="O26" s="30">
        <v>0.017802</v>
      </c>
      <c r="P26" s="30">
        <f>IF(SUM(D26:O26)=0,"0",AVERAGEIF(D26:O26,"&lt;&gt;0",D26:O26))</f>
      </c>
      <c r="Q26" s="29"/>
    </row>
    <row customHeight="true" ht="19" r="27">
      <c r="A27" s="15">
        <v>25</v>
      </c>
      <c r="B27" s="30" t="str">
        <v>天津</v>
      </c>
      <c r="C27" s="27" t="str">
        <v>系统运行费用折合度电水平</v>
      </c>
      <c r="D27" s="30">
        <f>SUM(D28:D43)</f>
      </c>
      <c r="E27" s="30">
        <f>SUM(E28:E43)</f>
      </c>
      <c r="F27" s="30">
        <f>SUM(F28:F43)</f>
      </c>
      <c r="G27" s="30">
        <f>SUM(G28:G43)</f>
      </c>
      <c r="H27" s="30">
        <f>SUM(H28:H43)</f>
      </c>
      <c r="I27" s="30">
        <f>SUM(I28:I43)</f>
      </c>
      <c r="J27" s="30">
        <f>SUM(J28:J43)</f>
      </c>
      <c r="K27" s="30">
        <f>SUM(K28:K43)</f>
      </c>
      <c r="L27" s="30">
        <f>SUM(L28:L43)</f>
      </c>
      <c r="M27" s="30">
        <f>SUM(M28:M43)</f>
      </c>
      <c r="N27" s="30">
        <f>SUM(N28:N43)</f>
      </c>
      <c r="O27" s="30">
        <f>SUM(O28:O43)</f>
      </c>
      <c r="P27" s="30">
        <f>IF(SUM(D27:O27)=0,"0",AVERAGEIF(D27:O27,"&lt;&gt;0",D27:O27))</f>
      </c>
      <c r="Q27" s="29"/>
    </row>
    <row customHeight="true" ht="19" r="28">
      <c r="A28" s="15">
        <v>26</v>
      </c>
      <c r="B28" s="30" t="str">
        <v>天津</v>
      </c>
      <c r="C28" s="27" t="str">
        <v>（1）辅助服务费用折合度电水平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f>IF(SUM(D28:O28)=0,"0",AVERAGEIF(D28:O28,"&lt;&gt;0",D28:O28))</f>
      </c>
      <c r="Q28" s="29"/>
    </row>
    <row customHeight="true" ht="19" r="29">
      <c r="A29" s="15">
        <v>27</v>
      </c>
      <c r="B29" s="30" t="str">
        <v>天津</v>
      </c>
      <c r="C29" s="27" t="str">
        <v>（2）抽水蓄能容量电费折合度电水平</v>
      </c>
      <c r="D29" s="30">
        <v>0.0056</v>
      </c>
      <c r="E29" s="30">
        <v>0.0065</v>
      </c>
      <c r="F29" s="30">
        <v>0.0063</v>
      </c>
      <c r="G29" s="30">
        <v>0.0063</v>
      </c>
      <c r="H29" s="30">
        <v>0.0061</v>
      </c>
      <c r="I29" s="30">
        <v>0.0057</v>
      </c>
      <c r="J29" s="30">
        <v>0.0051</v>
      </c>
      <c r="K29" s="30">
        <v>0.0051</v>
      </c>
      <c r="L29" s="30">
        <v>0.0055</v>
      </c>
      <c r="M29" s="30">
        <v>0.005987</v>
      </c>
      <c r="N29" s="30">
        <v>0.005365</v>
      </c>
      <c r="O29" s="30">
        <v>0.004626</v>
      </c>
      <c r="P29" s="30">
        <f>IF(SUM(D29:O29)=0,"0",AVERAGEIF(D29:O29,"&lt;&gt;0",D29:O29))</f>
      </c>
      <c r="Q29" s="29"/>
    </row>
    <row customHeight="true" ht="19" r="30">
      <c r="A30" s="15">
        <v>28</v>
      </c>
      <c r="B30" s="30" t="str">
        <v>天津</v>
      </c>
      <c r="C30" s="27" t="str">
        <v>（3）上网环节线损代理采购损益折合度电水平</v>
      </c>
      <c r="D30" s="30">
        <v>-0.0066</v>
      </c>
      <c r="E30" s="30">
        <v>-0.0168</v>
      </c>
      <c r="F30" s="30">
        <v>-0.0055</v>
      </c>
      <c r="G30" s="30">
        <v>-0.012</v>
      </c>
      <c r="H30" s="30">
        <v>-0.0026</v>
      </c>
      <c r="I30" s="30">
        <v>-0.0051</v>
      </c>
      <c r="J30" s="30">
        <v>-0.0126</v>
      </c>
      <c r="K30" s="30">
        <v>-0.0064</v>
      </c>
      <c r="L30" s="30">
        <v>-0.0013</v>
      </c>
      <c r="M30" s="30">
        <v>-0.006703</v>
      </c>
      <c r="N30" s="30">
        <v>-0.006437</v>
      </c>
      <c r="O30" s="30">
        <v>-0.003223</v>
      </c>
      <c r="P30" s="30">
        <f>IF(SUM(D30:O30)=0,"0",AVERAGEIF(D30:O30,"&lt;&gt;0",D30:O30))</f>
      </c>
      <c r="Q30" s="29"/>
    </row>
    <row customHeight="true" ht="19" r="31">
      <c r="A31" s="15">
        <v>29</v>
      </c>
      <c r="B31" s="30" t="str">
        <v>天津</v>
      </c>
      <c r="C31" s="27" t="str">
        <v>（4）电价交叉补贴新增损益折合度电水平</v>
      </c>
      <c r="D31" s="30">
        <v>0.0628</v>
      </c>
      <c r="E31" s="30">
        <v>0.0563</v>
      </c>
      <c r="F31" s="30">
        <v>0.0575</v>
      </c>
      <c r="G31" s="30">
        <v>0.0168</v>
      </c>
      <c r="H31" s="30">
        <v>0.022</v>
      </c>
      <c r="I31" s="30">
        <v>0.0311</v>
      </c>
      <c r="J31" s="30">
        <v>0.0739</v>
      </c>
      <c r="K31" s="30">
        <v>0.0562</v>
      </c>
      <c r="L31" s="30">
        <v>0.0153</v>
      </c>
      <c r="M31" s="30">
        <v>-0.003509</v>
      </c>
      <c r="N31" s="30">
        <v>0.024132</v>
      </c>
      <c r="O31" s="30">
        <v>0.07883</v>
      </c>
      <c r="P31" s="30">
        <f>IF(SUM(D31:O31)=0,"0",AVERAGEIF(D31:O31,"&lt;&gt;0",D31:O31))</f>
      </c>
      <c r="Q31" s="29"/>
    </row>
    <row customHeight="true" ht="19" r="32">
      <c r="A32" s="15">
        <v>30</v>
      </c>
      <c r="B32" s="30" t="str">
        <v>天津</v>
      </c>
      <c r="C32" s="27" t="str">
        <v>（5）煤电容量电费折合度电水平</v>
      </c>
      <c r="D32" s="30">
        <v>0.0165</v>
      </c>
      <c r="E32" s="30">
        <v>0.0155</v>
      </c>
      <c r="F32" s="30">
        <v>0.0138</v>
      </c>
      <c r="G32" s="30">
        <v>0.0197</v>
      </c>
      <c r="H32" s="30">
        <v>0.0133</v>
      </c>
      <c r="I32" s="30">
        <v>0.013</v>
      </c>
      <c r="J32" s="30">
        <v>0.0115</v>
      </c>
      <c r="K32" s="30">
        <v>0.0132</v>
      </c>
      <c r="L32" s="30">
        <v>0.0163</v>
      </c>
      <c r="M32" s="30">
        <v>0.01777</v>
      </c>
      <c r="N32" s="30">
        <v>0.014671</v>
      </c>
      <c r="O32" s="30">
        <v>0.010597</v>
      </c>
      <c r="P32" s="30">
        <f>IF(SUM(D32:O32)=0,"0",AVERAGEIF(D32:O32,"&lt;&gt;0",D32:O32))</f>
      </c>
      <c r="Q32" s="29"/>
    </row>
    <row customHeight="true" ht="19" r="33">
      <c r="A33" s="15">
        <v>31</v>
      </c>
      <c r="B33" s="30" t="str">
        <v>天津</v>
      </c>
      <c r="C33" s="27" t="str">
        <v>（6）天然气发电容量电费折合度电水平</v>
      </c>
      <c r="D33" s="30">
        <v>0.0215</v>
      </c>
      <c r="E33" s="30">
        <v>0.0341</v>
      </c>
      <c r="F33" s="30">
        <v>0.028</v>
      </c>
      <c r="G33" s="30">
        <v>0.0224</v>
      </c>
      <c r="H33" s="30">
        <v>0.029</v>
      </c>
      <c r="I33" s="30">
        <v>0.0236</v>
      </c>
      <c r="J33" s="30">
        <v>0.0212</v>
      </c>
      <c r="K33" s="30">
        <v>0.0214</v>
      </c>
      <c r="L33" s="30">
        <v>0.023</v>
      </c>
      <c r="M33" s="30">
        <v>0.025128</v>
      </c>
      <c r="N33" s="30">
        <v>0.024877</v>
      </c>
      <c r="O33" s="30">
        <v>0.019224</v>
      </c>
      <c r="P33" s="30">
        <f>IF(SUM(D33:O33)=0,"0",AVERAGEIF(D33:O33,"&lt;&gt;0",D33:O33))</f>
      </c>
      <c r="Q33" s="29"/>
    </row>
    <row customHeight="true" ht="19" r="34">
      <c r="A34" s="15">
        <v>32</v>
      </c>
      <c r="B34" s="30" t="str">
        <v>天津</v>
      </c>
      <c r="C34" s="27" t="str">
        <v>（7）水电合约价差损益折合度电水平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f>IF(SUM(D34:O34)=0,"0",AVERAGEIF(D34:O34,"&lt;&gt;0",D34:O34))</f>
      </c>
      <c r="Q34" s="29"/>
    </row>
    <row customHeight="true" ht="19" r="35">
      <c r="A35" s="15">
        <v>33</v>
      </c>
      <c r="B35" s="30" t="str">
        <v>天津</v>
      </c>
      <c r="C35" s="27" t="str">
        <v>（8）独立储能容量电费折合度电水平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f>IF(SUM(D35:O35)=0,"0",AVERAGEIF(D35:O35,"&lt;&gt;0",D35:O35))</f>
      </c>
      <c r="Q35" s="29"/>
    </row>
    <row customHeight="true" ht="19" r="36">
      <c r="A36" s="15">
        <v>34</v>
      </c>
      <c r="B36" s="30" t="str">
        <v>天津</v>
      </c>
      <c r="C36" s="27" t="str">
        <v>（9）工商业峰谷分时损益折合度电水平</v>
      </c>
      <c r="D36" s="30">
        <v>-0.0093</v>
      </c>
      <c r="E36" s="30">
        <v>-0.0085</v>
      </c>
      <c r="F36" s="30">
        <v>-0.0134</v>
      </c>
      <c r="G36" s="30">
        <v>-0.0068</v>
      </c>
      <c r="H36" s="30">
        <v>-0.0067</v>
      </c>
      <c r="I36" s="30">
        <v>-0.0095</v>
      </c>
      <c r="J36" s="30">
        <v>-0.0209</v>
      </c>
      <c r="K36" s="30">
        <v>-0.0218</v>
      </c>
      <c r="L36" s="30">
        <v>-0.0095</v>
      </c>
      <c r="M36" s="30">
        <v>-0.005149</v>
      </c>
      <c r="N36" s="30">
        <v>-0.00708</v>
      </c>
      <c r="O36" s="30">
        <v>-0.015214</v>
      </c>
      <c r="P36" s="30">
        <f>IF(SUM(D36:O36)=0,"0",AVERAGEIF(D36:O36,"&lt;&gt;0",D36:O36))</f>
      </c>
      <c r="Q36" s="29"/>
    </row>
    <row customHeight="true" ht="19" r="37">
      <c r="A37" s="15">
        <v>35</v>
      </c>
      <c r="B37" s="30" t="str">
        <v>天津</v>
      </c>
      <c r="C37" s="27" t="str">
        <v>（10）功率因数调整电费损益折合度电水平</v>
      </c>
      <c r="D37" s="30">
        <v>0.0028</v>
      </c>
      <c r="E37" s="30">
        <v>0.0031</v>
      </c>
      <c r="F37" s="30">
        <v>0.0039</v>
      </c>
      <c r="G37" s="30">
        <v>0.003</v>
      </c>
      <c r="H37" s="30">
        <v>0.002</v>
      </c>
      <c r="I37" s="30">
        <v>0.0018</v>
      </c>
      <c r="J37" s="30">
        <v>0.0028</v>
      </c>
      <c r="K37" s="30">
        <v>0.0029</v>
      </c>
      <c r="L37" s="30">
        <v>0.0027</v>
      </c>
      <c r="M37" s="30">
        <v>0.002405</v>
      </c>
      <c r="N37" s="30">
        <v>0.003457</v>
      </c>
      <c r="O37" s="30">
        <v>0.004505</v>
      </c>
      <c r="P37" s="30">
        <f>IF(SUM(D37:O37)=0,"0",AVERAGEIF(D37:O37,"&lt;&gt;0",D37:O37))</f>
      </c>
      <c r="Q37" s="29"/>
    </row>
    <row customHeight="true" ht="19" r="38">
      <c r="A38" s="15">
        <v>36</v>
      </c>
      <c r="B38" s="30" t="str">
        <v>天津</v>
      </c>
      <c r="C38" s="27" t="str">
        <v>（11）新能源可持续发展价格结算机制差价结算费用折合度电水平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f>IF(SUM(D38:O38)=0,"0",AVERAGEIF(D38:O38,"&lt;&gt;0",D38:O38))</f>
      </c>
      <c r="Q38" s="29"/>
    </row>
    <row customHeight="true" ht="19" r="39">
      <c r="A39" s="15">
        <v>37</v>
      </c>
      <c r="B39" s="30" t="str">
        <v>天津</v>
      </c>
      <c r="C39" s="27" t="str">
        <v>（12）趸售电价损益折合度电水平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f>IF(SUM(D39:O39)=0,"0",AVERAGEIF(D39:O39,"&lt;&gt;0",D39:O39))</f>
      </c>
      <c r="Q39" s="29"/>
    </row>
    <row customHeight="true" ht="19" r="40">
      <c r="A40" s="15">
        <v>38</v>
      </c>
      <c r="B40" s="30" t="str">
        <v>天津</v>
      </c>
      <c r="C40" s="27" t="str">
        <v>（13）代理购电价格新增损益折合度电水平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f>IF(SUM(D40:O40)=0,"0",AVERAGEIF(D40:O40,"&lt;&gt;0",D40:O40))</f>
      </c>
      <c r="Q40" s="29"/>
    </row>
    <row customHeight="true" ht="19" r="41">
      <c r="A41" s="15">
        <v>38</v>
      </c>
      <c r="B41" s="30" t="str">
        <v>天津</v>
      </c>
      <c r="C41" s="27" t="str">
        <v>（14）跨省跨区应急调度价差损益折合度电水平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f>IF(SUM(D41:O41)=0,"0",AVERAGEIF(D41:O41,"&lt;&gt;0",D41:O41))</f>
      </c>
      <c r="Q41" s="29"/>
    </row>
    <row customHeight="true" ht="19" r="42">
      <c r="A42" s="15">
        <v>39</v>
      </c>
      <c r="B42" s="30" t="str">
        <v>天津</v>
      </c>
      <c r="C42" s="27" t="str">
        <v>（15）剩余优先发电价差损益度电水平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f>IF(SUM(D42:O42)=0,"0",AVERAGEIF(D42:O42,"&lt;&gt;0",D42:O42))</f>
      </c>
      <c r="Q42" s="29"/>
    </row>
    <row customHeight="true" ht="19" r="43">
      <c r="A43" s="15">
        <v>40</v>
      </c>
      <c r="B43" s="30" t="str">
        <v>天津</v>
      </c>
      <c r="C43" s="27" t="str">
        <v>（16）其他费用折合度电水平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f>IF(SUM(D43:O43)=0,"0",AVERAGEIF(D43:O43,"&lt;&gt;0",D43:O43))</f>
      </c>
      <c r="Q43" s="29"/>
    </row>
    <row r="44">
      <c r="A44" s="15">
        <v>41</v>
      </c>
      <c r="B44" s="15" t="str">
        <v>河北南网</v>
      </c>
      <c r="C44" s="16" t="str">
        <v>代理工商业购电价格</v>
      </c>
      <c r="D44" s="15">
        <f>D45+D46</f>
      </c>
      <c r="E44" s="15">
        <f>E45+E46</f>
      </c>
      <c r="F44" s="15">
        <f>F45+F46</f>
      </c>
      <c r="G44" s="15">
        <f>G45+G46</f>
      </c>
      <c r="H44" s="15">
        <f>H45+H46</f>
      </c>
      <c r="I44" s="15">
        <f>I45+I46</f>
      </c>
      <c r="J44" s="15">
        <f>J45+J46</f>
      </c>
      <c r="K44" s="15">
        <f>K45+K46</f>
      </c>
      <c r="L44" s="15">
        <f>L45+L46</f>
      </c>
      <c r="M44" s="15">
        <f>M45+M46</f>
      </c>
      <c r="N44" s="15">
        <f>N45+N46</f>
      </c>
      <c r="O44" s="15">
        <f>O45+O46</f>
      </c>
      <c r="P44" s="15">
        <f>IF(SUM(D44:O44)=0,"0",AVERAGEIF(D44:O44,"&lt;&gt;0",D44:O44))</f>
      </c>
      <c r="Q44" s="14"/>
    </row>
    <row customHeight="true" ht="19" r="45">
      <c r="A45" s="15">
        <v>42</v>
      </c>
      <c r="B45" s="15" t="str">
        <v>河北南网</v>
      </c>
      <c r="C45" s="16" t="str">
        <v>（1）当月平均购电价格</v>
      </c>
      <c r="D45" s="15">
        <v>0.4115</v>
      </c>
      <c r="E45" s="15">
        <v>0.4115</v>
      </c>
      <c r="F45" s="15">
        <v>0.4101</v>
      </c>
      <c r="G45" s="15">
        <v>0.4096</v>
      </c>
      <c r="H45" s="15">
        <v>0.4093</v>
      </c>
      <c r="I45" s="15">
        <v>0.4097</v>
      </c>
      <c r="J45" s="15">
        <v>0.4095</v>
      </c>
      <c r="K45" s="15">
        <v>0.4098</v>
      </c>
      <c r="L45" s="15">
        <v>0.4086</v>
      </c>
      <c r="M45" s="15">
        <v>0.40886</v>
      </c>
      <c r="N45" s="15">
        <v>0.425225</v>
      </c>
      <c r="O45" s="15">
        <v>0.43825</v>
      </c>
      <c r="P45" s="15">
        <f>IF(SUM(D45:O45)=0,"0",AVERAGEIF(D45:O45,"&lt;&gt;0",D45:O45))</f>
      </c>
      <c r="Q45" s="14"/>
    </row>
    <row customHeight="true" ht="19" r="46">
      <c r="A46" s="15">
        <v>43</v>
      </c>
      <c r="B46" s="15" t="str">
        <v>河北南网</v>
      </c>
      <c r="C46" s="16" t="str">
        <v>（2）历史偏差电费折价</v>
      </c>
      <c r="D46" s="15">
        <v>0.0023</v>
      </c>
      <c r="E46" s="15">
        <v>0.017</v>
      </c>
      <c r="F46" s="15">
        <v>0.0166</v>
      </c>
      <c r="G46" s="15">
        <v>0.0203</v>
      </c>
      <c r="H46" s="15">
        <v>0.0022</v>
      </c>
      <c r="I46" s="15">
        <v>0.0015</v>
      </c>
      <c r="J46" s="15">
        <v>-0.0042</v>
      </c>
      <c r="K46" s="15">
        <v>0.0037</v>
      </c>
      <c r="L46" s="15">
        <v>0.0144</v>
      </c>
      <c r="M46" s="15">
        <v>0.015072</v>
      </c>
      <c r="N46" s="15">
        <v>0.000428</v>
      </c>
      <c r="O46" s="15">
        <v>0.004097</v>
      </c>
      <c r="P46" s="15">
        <f>IF(SUM(D46:O46)=0,"0",AVERAGEIF(D46:O46,"&lt;&gt;0",D46:O46))</f>
      </c>
      <c r="Q46" s="14"/>
    </row>
    <row customHeight="true" ht="19" r="47">
      <c r="A47" s="15">
        <v>44</v>
      </c>
      <c r="B47" s="15" t="str">
        <v>河北南网</v>
      </c>
      <c r="C47" s="16" t="str">
        <v>上网环节线损费用折价</v>
      </c>
      <c r="D47" s="15">
        <v>0.0259</v>
      </c>
      <c r="E47" s="15">
        <v>0.026</v>
      </c>
      <c r="F47" s="15">
        <v>0.0238</v>
      </c>
      <c r="G47" s="15">
        <v>0.0223</v>
      </c>
      <c r="H47" s="15">
        <v>0.0307</v>
      </c>
      <c r="I47" s="15">
        <v>0.021</v>
      </c>
      <c r="J47" s="15">
        <v>0.0237</v>
      </c>
      <c r="K47" s="15">
        <v>0.0263</v>
      </c>
      <c r="L47" s="15">
        <v>0.0271</v>
      </c>
      <c r="M47" s="15">
        <v>0.02602</v>
      </c>
      <c r="N47" s="15">
        <v>0.025807</v>
      </c>
      <c r="O47" s="15">
        <v>0.026875</v>
      </c>
      <c r="P47" s="15">
        <f>IF(SUM(D47:O47)=0,"0",AVERAGEIF(D47:O47,"&lt;&gt;0",D47:O47))</f>
      </c>
      <c r="Q47" s="14"/>
    </row>
    <row customHeight="true" ht="19" r="48">
      <c r="A48" s="15">
        <v>45</v>
      </c>
      <c r="B48" s="15" t="str">
        <v>河北南网</v>
      </c>
      <c r="C48" s="16" t="str">
        <v>系统运行费用折合度电水平</v>
      </c>
      <c r="D48" s="15">
        <f>SUM(D49:D64)</f>
      </c>
      <c r="E48" s="15">
        <f>SUM(E49:E64)</f>
      </c>
      <c r="F48" s="15">
        <f>SUM(F49:F64)</f>
      </c>
      <c r="G48" s="15">
        <f>SUM(G49:G64)</f>
      </c>
      <c r="H48" s="15">
        <f>SUM(H49:H64)</f>
      </c>
      <c r="I48" s="15">
        <f>SUM(I49:I64)</f>
      </c>
      <c r="J48" s="15">
        <f>SUM(J49:J64)</f>
      </c>
      <c r="K48" s="15">
        <f>SUM(K49:K64)</f>
      </c>
      <c r="L48" s="15">
        <f>SUM(L49:L64)</f>
      </c>
      <c r="M48" s="15">
        <f>SUM(M49:M64)</f>
      </c>
      <c r="N48" s="15">
        <f>SUM(N49:N64)</f>
      </c>
      <c r="O48" s="15">
        <f>SUM(O49:O64)</f>
      </c>
      <c r="P48" s="15">
        <f>IF(SUM(D48:O48)=0,"0",AVERAGEIF(D48:O48,"&lt;&gt;0",D48:O48))</f>
      </c>
      <c r="Q48" s="14"/>
    </row>
    <row customHeight="true" ht="19" r="49">
      <c r="A49" s="15">
        <v>46</v>
      </c>
      <c r="B49" s="15" t="str">
        <v>河北南网</v>
      </c>
      <c r="C49" s="16" t="str">
        <v>（1）辅助服务费用折合度电水平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f>IF(SUM(D49:O49)=0,"0",AVERAGEIF(D49:O49,"&lt;&gt;0",D49:O49))</f>
      </c>
      <c r="Q49" s="14"/>
    </row>
    <row customHeight="true" ht="19" r="50">
      <c r="A50" s="15">
        <v>47</v>
      </c>
      <c r="B50" s="15" t="str">
        <v>河北南网</v>
      </c>
      <c r="C50" s="16" t="str">
        <v>（2）抽水蓄能容量电费折合度电水平</v>
      </c>
      <c r="D50" s="15">
        <v>0.0086</v>
      </c>
      <c r="E50" s="15">
        <v>0.0095</v>
      </c>
      <c r="F50" s="15">
        <v>0.009</v>
      </c>
      <c r="G50" s="15">
        <v>0.0084</v>
      </c>
      <c r="H50" s="15">
        <v>0.0082</v>
      </c>
      <c r="I50" s="15">
        <v>0.0081</v>
      </c>
      <c r="J50" s="15">
        <v>0.0084</v>
      </c>
      <c r="K50" s="15">
        <v>0.0078</v>
      </c>
      <c r="L50" s="15">
        <v>0.0081</v>
      </c>
      <c r="M50" s="15">
        <v>0.00853</v>
      </c>
      <c r="N50" s="15">
        <v>0.008148</v>
      </c>
      <c r="O50" s="15">
        <v>0.007384</v>
      </c>
      <c r="P50" s="15">
        <f>IF(SUM(D50:O50)=0,"0",AVERAGEIF(D50:O50,"&lt;&gt;0",D50:O50))</f>
      </c>
      <c r="Q50" s="14"/>
    </row>
    <row customHeight="true" ht="19" r="51">
      <c r="A51" s="15">
        <v>48</v>
      </c>
      <c r="B51" s="15" t="str">
        <v>河北南网</v>
      </c>
      <c r="C51" s="16" t="str">
        <v>（3）上网环节线损代理采购损益折合度电水平</v>
      </c>
      <c r="D51" s="15">
        <v>-0.0076</v>
      </c>
      <c r="E51" s="15">
        <v>-0.0077</v>
      </c>
      <c r="F51" s="15">
        <v>-0.0058</v>
      </c>
      <c r="G51" s="15">
        <v>-0.0042</v>
      </c>
      <c r="H51" s="15">
        <v>-0.0055</v>
      </c>
      <c r="I51" s="15">
        <v>-0.0098</v>
      </c>
      <c r="J51" s="15">
        <v>-0.0113</v>
      </c>
      <c r="K51" s="15">
        <v>-0.005</v>
      </c>
      <c r="L51" s="15">
        <v>-0.0047</v>
      </c>
      <c r="M51" s="15">
        <v>-0.005698</v>
      </c>
      <c r="N51" s="15">
        <v>-0.010414</v>
      </c>
      <c r="O51" s="15">
        <v>-0.00775</v>
      </c>
      <c r="P51" s="15">
        <f>IF(SUM(D51:O51)=0,"0",AVERAGEIF(D51:O51,"&lt;&gt;0",D51:O51))</f>
      </c>
      <c r="Q51" s="14"/>
    </row>
    <row customHeight="true" ht="19" r="52">
      <c r="A52" s="15">
        <v>49</v>
      </c>
      <c r="B52" s="15" t="str">
        <v>河北南网</v>
      </c>
      <c r="C52" s="16" t="str">
        <v>（4）电价交叉补贴新增损益折合度电水平</v>
      </c>
      <c r="D52" s="15">
        <v>0.0406</v>
      </c>
      <c r="E52" s="15">
        <v>0.0242</v>
      </c>
      <c r="F52" s="15">
        <v>0.0197</v>
      </c>
      <c r="G52" s="15">
        <v>0.0062</v>
      </c>
      <c r="H52" s="15">
        <v>0.0041</v>
      </c>
      <c r="I52" s="15">
        <v>0.0283</v>
      </c>
      <c r="J52" s="15">
        <v>0.011</v>
      </c>
      <c r="K52" s="15">
        <v>0.005</v>
      </c>
      <c r="L52" s="15">
        <v>0.0081</v>
      </c>
      <c r="M52" s="15">
        <v>-0.007457</v>
      </c>
      <c r="N52" s="15">
        <v>-0.006025</v>
      </c>
      <c r="O52" s="15">
        <v>0.013261</v>
      </c>
      <c r="P52" s="15">
        <f>IF(SUM(D52:O52)=0,"0",AVERAGEIF(D52:O52,"&lt;&gt;0",D52:O52))</f>
      </c>
      <c r="Q52" s="14"/>
    </row>
    <row customHeight="true" ht="19" r="53">
      <c r="A53" s="15">
        <v>50</v>
      </c>
      <c r="B53" s="15" t="str">
        <v>河北南网</v>
      </c>
      <c r="C53" s="16" t="str">
        <v>（5）煤电容量电费折合度电水平</v>
      </c>
      <c r="D53" s="15">
        <v>0.0245</v>
      </c>
      <c r="E53" s="15">
        <v>0.0254</v>
      </c>
      <c r="F53" s="15">
        <v>0.0225</v>
      </c>
      <c r="G53" s="15">
        <v>0.0232</v>
      </c>
      <c r="H53" s="15">
        <v>0.023</v>
      </c>
      <c r="I53" s="15">
        <v>0.0235</v>
      </c>
      <c r="J53" s="15">
        <v>0.0216</v>
      </c>
      <c r="K53" s="15">
        <v>0.0224</v>
      </c>
      <c r="L53" s="15">
        <v>0.0227</v>
      </c>
      <c r="M53" s="15">
        <v>0.0239</v>
      </c>
      <c r="N53" s="15">
        <v>0.022591</v>
      </c>
      <c r="O53" s="15">
        <v>0.018405</v>
      </c>
      <c r="P53" s="15">
        <f>IF(SUM(D53:O53)=0,"0",AVERAGEIF(D53:O53,"&lt;&gt;0",D53:O53))</f>
      </c>
      <c r="Q53" s="14"/>
    </row>
    <row customHeight="true" ht="19" r="54">
      <c r="A54" s="15">
        <v>51</v>
      </c>
      <c r="B54" s="15" t="str">
        <v>河北南网</v>
      </c>
      <c r="C54" s="16" t="str">
        <v>（6）天然气发电容量电费折合度电水平</v>
      </c>
      <c r="D54" s="15">
        <v>0</v>
      </c>
      <c r="E54" s="15">
        <v>0.0018</v>
      </c>
      <c r="F54" s="15">
        <v>0.0079</v>
      </c>
      <c r="G54" s="15">
        <v>0.0017</v>
      </c>
      <c r="H54" s="15">
        <v>0.0016</v>
      </c>
      <c r="I54" s="15">
        <v>0.0015</v>
      </c>
      <c r="J54" s="15">
        <v>0.0014</v>
      </c>
      <c r="K54" s="15">
        <v>0.0014</v>
      </c>
      <c r="L54" s="15">
        <v>0.0016</v>
      </c>
      <c r="M54" s="15">
        <v>0.00169</v>
      </c>
      <c r="N54" s="15">
        <v>0.001642</v>
      </c>
      <c r="O54" s="15">
        <v>0.001398</v>
      </c>
      <c r="P54" s="15">
        <f>IF(SUM(D54:O54)=0,"0",AVERAGEIF(D54:O54,"&lt;&gt;0",D54:O54))</f>
      </c>
      <c r="Q54" s="14"/>
    </row>
    <row customHeight="true" ht="19" r="55">
      <c r="A55" s="15">
        <v>52</v>
      </c>
      <c r="B55" s="15" t="str">
        <v>河北南网</v>
      </c>
      <c r="C55" s="16" t="str">
        <v>（7）水电合约价差损益折合度电水平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f>IF(SUM(D55:O55)=0,"0",AVERAGEIF(D55:O55,"&lt;&gt;0",D55:O55))</f>
      </c>
      <c r="Q55" s="14"/>
    </row>
    <row customHeight="true" ht="19" r="56">
      <c r="A56" s="15">
        <v>53</v>
      </c>
      <c r="B56" s="15" t="str">
        <v>河北南网</v>
      </c>
      <c r="C56" s="16" t="str">
        <v>（8）独立储能容量电费折合度电水平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f>IF(SUM(D56:O56)=0,"0",AVERAGEIF(D56:O56,"&lt;&gt;0",D56:O56))</f>
      </c>
      <c r="Q56" s="14"/>
    </row>
    <row customHeight="true" ht="19" r="57">
      <c r="A57" s="15">
        <v>54</v>
      </c>
      <c r="B57" s="15" t="str">
        <v>河北南网</v>
      </c>
      <c r="C57" s="16" t="str">
        <v>（9）工商业峰谷分时损益折合度电水平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f>IF(SUM(D57:O57)=0,"0",AVERAGEIF(D57:O57,"&lt;&gt;0",D57:O57))</f>
      </c>
      <c r="Q57" s="14"/>
    </row>
    <row customHeight="true" ht="19" r="58">
      <c r="A58" s="15">
        <v>55</v>
      </c>
      <c r="B58" s="15" t="str">
        <v>河北南网</v>
      </c>
      <c r="C58" s="16" t="str">
        <v>（10）功率因数调整电费损益折合度电水平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f>IF(SUM(D58:O58)=0,"0",AVERAGEIF(D58:O58,"&lt;&gt;0",D58:O58))</f>
      </c>
      <c r="Q58" s="14"/>
    </row>
    <row customHeight="true" ht="19" r="59">
      <c r="A59" s="15">
        <v>56</v>
      </c>
      <c r="B59" s="15" t="str">
        <v>河北南网</v>
      </c>
      <c r="C59" s="16" t="str">
        <v>（11）新能源可持续发展价格结算机制差价结算费用折合度电水平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f>IF(SUM(D59:O59)=0,"0",AVERAGEIF(D59:O59,"&lt;&gt;0",D59:O59))</f>
      </c>
      <c r="Q59" s="14"/>
    </row>
    <row customHeight="true" ht="19" r="60">
      <c r="A60" s="15">
        <v>57</v>
      </c>
      <c r="B60" s="15" t="str">
        <v>河北南网</v>
      </c>
      <c r="C60" s="16" t="str">
        <v>（12）趸售电价损益折合度电水平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f>IF(SUM(D60:O60)=0,"0",AVERAGEIF(D60:O60,"&lt;&gt;0",D60:O60))</f>
      </c>
      <c r="Q60" s="14"/>
    </row>
    <row customHeight="true" ht="19" r="61">
      <c r="A61" s="15">
        <v>58</v>
      </c>
      <c r="B61" s="15" t="str">
        <v>河北南网</v>
      </c>
      <c r="C61" s="16" t="str">
        <v>（13）代理购电价格新增损益折合度电水平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f>IF(SUM(D61:O61)=0,"0",AVERAGEIF(D61:O61,"&lt;&gt;0",D61:O61))</f>
      </c>
      <c r="Q61" s="14"/>
    </row>
    <row customHeight="true" ht="19" r="62">
      <c r="A62" s="15">
        <v>58</v>
      </c>
      <c r="B62" s="15" t="str">
        <v>河北南网</v>
      </c>
      <c r="C62" s="16" t="str">
        <v>（14）跨省跨区应急调度价差损益折合度电水平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f>IF(SUM(D62:O62)=0,"0",AVERAGEIF(D62:O62,"&lt;&gt;0",D62:O62))</f>
      </c>
      <c r="Q62" s="14"/>
    </row>
    <row customHeight="true" ht="19" r="63">
      <c r="A63" s="15">
        <v>59</v>
      </c>
      <c r="B63" s="15" t="str">
        <v>河北南网</v>
      </c>
      <c r="C63" s="16" t="str">
        <v>（15）剩余优先发电价差损益度电水平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f>IF(SUM(D63:O63)=0,"0",AVERAGEIF(D63:O63,"&lt;&gt;0",D63:O63))</f>
      </c>
      <c r="Q63" s="14"/>
    </row>
    <row customHeight="true" ht="19" r="64">
      <c r="A64" s="15">
        <v>60</v>
      </c>
      <c r="B64" s="15" t="str">
        <v>河北南网</v>
      </c>
      <c r="C64" s="16" t="str">
        <v>（16）其他费用折合度电水平</v>
      </c>
      <c r="D64" s="15">
        <v>0.000063</v>
      </c>
      <c r="E64" s="15">
        <v>0.000065</v>
      </c>
      <c r="F64" s="15">
        <v>0.000057</v>
      </c>
      <c r="G64" s="15">
        <v>0.000056</v>
      </c>
      <c r="H64" s="15">
        <v>0.000073</v>
      </c>
      <c r="I64" s="15">
        <v>0.000112</v>
      </c>
      <c r="J64" s="15">
        <v>0.000429</v>
      </c>
      <c r="K64" s="15">
        <v>0.001277</v>
      </c>
      <c r="L64" s="15">
        <v>0.000417</v>
      </c>
      <c r="M64" s="15">
        <v>0.000428</v>
      </c>
      <c r="N64" s="15">
        <v>0.000373</v>
      </c>
      <c r="O64" s="15">
        <v>0.000304</v>
      </c>
      <c r="P64" s="15">
        <f>IF(SUM(D64:O64)=0,"0",AVERAGEIF(D64:O64,"&lt;&gt;0",D64:O64))</f>
      </c>
      <c r="Q64" s="14"/>
    </row>
    <row r="65">
      <c r="A65" s="15">
        <v>61</v>
      </c>
      <c r="B65" s="30" t="str">
        <v>冀北</v>
      </c>
      <c r="C65" s="27" t="str">
        <v>代理工商业购电价格</v>
      </c>
      <c r="D65" s="30">
        <f>D66+D67</f>
      </c>
      <c r="E65" s="30">
        <f>E66+E67</f>
      </c>
      <c r="F65" s="30">
        <f>F66+F67</f>
      </c>
      <c r="G65" s="30">
        <f>G66+G67</f>
      </c>
      <c r="H65" s="30">
        <f>H66+H67</f>
      </c>
      <c r="I65" s="30">
        <f>I66+I67</f>
      </c>
      <c r="J65" s="30">
        <f>J66+J67</f>
      </c>
      <c r="K65" s="30">
        <f>K66+K67</f>
      </c>
      <c r="L65" s="30">
        <f>L66+L67</f>
      </c>
      <c r="M65" s="30">
        <f>M66+M67</f>
      </c>
      <c r="N65" s="30">
        <f>N66+N67</f>
      </c>
      <c r="O65" s="30">
        <f>O66+O67</f>
      </c>
      <c r="P65" s="30">
        <f>IF(SUM(D65:O65)=0,"0",AVERAGEIF(D65:O65,"&lt;&gt;0",D65:O65))</f>
      </c>
      <c r="Q65" s="29"/>
    </row>
    <row customHeight="true" ht="19" r="66">
      <c r="A66" s="15">
        <v>62</v>
      </c>
      <c r="B66" s="30" t="str">
        <v>冀北</v>
      </c>
      <c r="C66" s="27" t="str">
        <v>（1）当月平均购电价格</v>
      </c>
      <c r="D66" s="30">
        <v>0.4169</v>
      </c>
      <c r="E66" s="30">
        <v>0.416</v>
      </c>
      <c r="F66" s="30">
        <v>0.4181</v>
      </c>
      <c r="G66" s="30">
        <v>0.4177</v>
      </c>
      <c r="H66" s="30">
        <v>0.4176</v>
      </c>
      <c r="I66" s="30">
        <v>0.4201</v>
      </c>
      <c r="J66" s="30">
        <v>0.4187</v>
      </c>
      <c r="K66" s="30">
        <v>0.4187</v>
      </c>
      <c r="L66" s="30">
        <v>0.4184</v>
      </c>
      <c r="M66" s="30">
        <v>0.41939</v>
      </c>
      <c r="N66" s="30">
        <v>0.41517</v>
      </c>
      <c r="O66" s="30">
        <v>0.41721</v>
      </c>
      <c r="P66" s="30">
        <f>IF(SUM(D66:O66)=0,"0",AVERAGEIF(D66:O66,"&lt;&gt;0",D66:O66))</f>
      </c>
      <c r="Q66" s="29"/>
    </row>
    <row customHeight="true" ht="19" r="67">
      <c r="A67" s="15">
        <v>63</v>
      </c>
      <c r="B67" s="30" t="str">
        <v>冀北</v>
      </c>
      <c r="C67" s="27" t="str">
        <v>（2）历史偏差电费折价</v>
      </c>
      <c r="D67" s="30">
        <v>-0.0001</v>
      </c>
      <c r="E67" s="30">
        <v>-0.0001</v>
      </c>
      <c r="F67" s="30">
        <v>-0.0001</v>
      </c>
      <c r="G67" s="30">
        <v>0.0053</v>
      </c>
      <c r="H67" s="30">
        <v>0.0021</v>
      </c>
      <c r="I67" s="30">
        <v>-0.0126</v>
      </c>
      <c r="J67" s="30">
        <v>-0.0067</v>
      </c>
      <c r="K67" s="30">
        <v>-0.0009</v>
      </c>
      <c r="L67" s="30">
        <v>-0.0012</v>
      </c>
      <c r="M67" s="30">
        <v>-0.000979</v>
      </c>
      <c r="N67" s="30">
        <v>0.000155</v>
      </c>
      <c r="O67" s="30">
        <v>-0.000022</v>
      </c>
      <c r="P67" s="30">
        <f>IF(SUM(D67:O67)=0,"0",AVERAGEIF(D67:O67,"&lt;&gt;0",D67:O67))</f>
      </c>
      <c r="Q67" s="29"/>
    </row>
    <row customHeight="true" ht="19" r="68">
      <c r="A68" s="15">
        <v>64</v>
      </c>
      <c r="B68" s="30" t="str">
        <v>冀北</v>
      </c>
      <c r="C68" s="27" t="str">
        <v>上网环节线损费用折价</v>
      </c>
      <c r="D68" s="30">
        <v>0.0174</v>
      </c>
      <c r="E68" s="30">
        <v>0.0173</v>
      </c>
      <c r="F68" s="30">
        <v>0.0174</v>
      </c>
      <c r="G68" s="30">
        <v>0.0174</v>
      </c>
      <c r="H68" s="30">
        <v>0.0174</v>
      </c>
      <c r="I68" s="30">
        <v>0.0175</v>
      </c>
      <c r="J68" s="30">
        <v>0.0174</v>
      </c>
      <c r="K68" s="30">
        <v>0.0174</v>
      </c>
      <c r="L68" s="30">
        <v>0.0174</v>
      </c>
      <c r="M68" s="30">
        <v>0.017475</v>
      </c>
      <c r="N68" s="30">
        <v>0.017299</v>
      </c>
      <c r="O68" s="30">
        <v>0.017384</v>
      </c>
      <c r="P68" s="30">
        <f>IF(SUM(D68:O68)=0,"0",AVERAGEIF(D68:O68,"&lt;&gt;0",D68:O68))</f>
      </c>
      <c r="Q68" s="29"/>
    </row>
    <row customHeight="true" ht="19" r="69">
      <c r="A69" s="15">
        <v>65</v>
      </c>
      <c r="B69" s="30" t="str">
        <v>冀北</v>
      </c>
      <c r="C69" s="27" t="str">
        <v>系统运行费用折合度电水平</v>
      </c>
      <c r="D69" s="30">
        <f>SUM(D70:D85)</f>
      </c>
      <c r="E69" s="30">
        <f>SUM(E70:E85)</f>
      </c>
      <c r="F69" s="30">
        <f>SUM(F70:F85)</f>
      </c>
      <c r="G69" s="30">
        <f>SUM(G70:G85)</f>
      </c>
      <c r="H69" s="30">
        <f>SUM(H70:H85)</f>
      </c>
      <c r="I69" s="30">
        <f>SUM(I70:I85)</f>
      </c>
      <c r="J69" s="30">
        <f>SUM(J70:J85)</f>
      </c>
      <c r="K69" s="30">
        <f>SUM(K70:K85)</f>
      </c>
      <c r="L69" s="30">
        <f>SUM(L70:L85)</f>
      </c>
      <c r="M69" s="30">
        <f>SUM(M70:M85)</f>
      </c>
      <c r="N69" s="30">
        <f>SUM(N70:N85)</f>
      </c>
      <c r="O69" s="30">
        <f>SUM(O70:O85)</f>
      </c>
      <c r="P69" s="30">
        <f>IF(SUM(D69:O69)=0,"0",AVERAGEIF(D69:O69,"&lt;&gt;0",D69:O69))</f>
      </c>
      <c r="Q69" s="29"/>
    </row>
    <row customHeight="true" ht="19" r="70">
      <c r="A70" s="15">
        <v>66</v>
      </c>
      <c r="B70" s="30" t="str">
        <v>冀北</v>
      </c>
      <c r="C70" s="27" t="str">
        <v>（1）辅助服务费用折合度电水平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f>IF(SUM(D70:O70)=0,"0",AVERAGEIF(D70:O70,"&lt;&gt;0",D70:O70))</f>
      </c>
      <c r="Q70" s="29"/>
    </row>
    <row customHeight="true" ht="19" r="71">
      <c r="A71" s="15">
        <v>67</v>
      </c>
      <c r="B71" s="30" t="str">
        <v>冀北</v>
      </c>
      <c r="C71" s="27" t="str">
        <v>（2）抽水蓄能容量电费折合度电水平</v>
      </c>
      <c r="D71" s="30">
        <v>0.0032</v>
      </c>
      <c r="E71" s="30">
        <v>0.0039</v>
      </c>
      <c r="F71" s="30">
        <v>0.0037</v>
      </c>
      <c r="G71" s="30">
        <v>0.0036</v>
      </c>
      <c r="H71" s="30">
        <v>0.0035</v>
      </c>
      <c r="I71" s="30">
        <v>0.0035</v>
      </c>
      <c r="J71" s="30">
        <v>0.0032</v>
      </c>
      <c r="K71" s="30">
        <v>0.0032</v>
      </c>
      <c r="L71" s="30">
        <v>0.0033</v>
      </c>
      <c r="M71" s="30">
        <v>0.003237</v>
      </c>
      <c r="N71" s="30">
        <v>0.003081</v>
      </c>
      <c r="O71" s="30">
        <v>0.002909</v>
      </c>
      <c r="P71" s="30">
        <f>IF(SUM(D71:O71)=0,"0",AVERAGEIF(D71:O71,"&lt;&gt;0",D71:O71))</f>
      </c>
      <c r="Q71" s="29"/>
    </row>
    <row customHeight="true" ht="19" r="72">
      <c r="A72" s="15">
        <v>68</v>
      </c>
      <c r="B72" s="30" t="str">
        <v>冀北</v>
      </c>
      <c r="C72" s="27" t="str">
        <v>（3）上网环节线损代理采购损益折合度电水平</v>
      </c>
      <c r="D72" s="30">
        <v>-0.0053</v>
      </c>
      <c r="E72" s="30">
        <v>-0.0044</v>
      </c>
      <c r="F72" s="30">
        <v>-0.0053</v>
      </c>
      <c r="G72" s="30">
        <v>-0.0049</v>
      </c>
      <c r="H72" s="30">
        <v>-0.006</v>
      </c>
      <c r="I72" s="30">
        <v>-0.0035</v>
      </c>
      <c r="J72" s="30">
        <v>-0.0085</v>
      </c>
      <c r="K72" s="30">
        <v>-0.005</v>
      </c>
      <c r="L72" s="30">
        <v>-0.0062</v>
      </c>
      <c r="M72" s="30">
        <v>-0.007415</v>
      </c>
      <c r="N72" s="30">
        <v>-0.005106</v>
      </c>
      <c r="O72" s="30">
        <v>-0.007015</v>
      </c>
      <c r="P72" s="30">
        <f>IF(SUM(D72:O72)=0,"0",AVERAGEIF(D72:O72,"&lt;&gt;0",D72:O72))</f>
      </c>
      <c r="Q72" s="29"/>
    </row>
    <row customHeight="true" ht="19" r="73">
      <c r="A73" s="15">
        <v>69</v>
      </c>
      <c r="B73" s="30" t="str">
        <v>冀北</v>
      </c>
      <c r="C73" s="27" t="str">
        <v>（4）电价交叉补贴新增损益折合度电水平</v>
      </c>
      <c r="D73" s="30">
        <v>0.012</v>
      </c>
      <c r="E73" s="30">
        <v>0.0072</v>
      </c>
      <c r="F73" s="30">
        <v>0.0107</v>
      </c>
      <c r="G73" s="30">
        <v>0.0004</v>
      </c>
      <c r="H73" s="30">
        <v>-0.0055</v>
      </c>
      <c r="I73" s="30">
        <v>0.0028</v>
      </c>
      <c r="J73" s="30">
        <v>0.0005</v>
      </c>
      <c r="K73" s="30">
        <v>0.0009</v>
      </c>
      <c r="L73" s="30">
        <v>-0.0066</v>
      </c>
      <c r="M73" s="30">
        <v>-0.009489</v>
      </c>
      <c r="N73" s="30">
        <v>-0.000739</v>
      </c>
      <c r="O73" s="30">
        <v>0.013132</v>
      </c>
      <c r="P73" s="30">
        <f>IF(SUM(D73:O73)=0,"0",AVERAGEIF(D73:O73,"&lt;&gt;0",D73:O73))</f>
      </c>
      <c r="Q73" s="29"/>
    </row>
    <row customHeight="true" ht="19" r="74">
      <c r="A74" s="15">
        <v>70</v>
      </c>
      <c r="B74" s="30" t="str">
        <v>冀北</v>
      </c>
      <c r="C74" s="27" t="str">
        <v>（5）煤电容量电费折合度电水平</v>
      </c>
      <c r="D74" s="30">
        <v>0.0134</v>
      </c>
      <c r="E74" s="30">
        <v>0.0209</v>
      </c>
      <c r="F74" s="30">
        <v>0.0195</v>
      </c>
      <c r="G74" s="30">
        <v>0.0212</v>
      </c>
      <c r="H74" s="30">
        <v>0.019</v>
      </c>
      <c r="I74" s="30">
        <v>0.019</v>
      </c>
      <c r="J74" s="30">
        <v>0.0172</v>
      </c>
      <c r="K74" s="30">
        <v>0.0171</v>
      </c>
      <c r="L74" s="30">
        <v>0.0168</v>
      </c>
      <c r="M74" s="30">
        <v>0.017409</v>
      </c>
      <c r="N74" s="30">
        <v>0.016687</v>
      </c>
      <c r="O74" s="30">
        <v>0.016725</v>
      </c>
      <c r="P74" s="30">
        <f>IF(SUM(D74:O74)=0,"0",AVERAGEIF(D74:O74,"&lt;&gt;0",D74:O74))</f>
      </c>
      <c r="Q74" s="29"/>
    </row>
    <row customHeight="true" ht="19" r="75">
      <c r="A75" s="15">
        <v>71</v>
      </c>
      <c r="B75" s="30" t="str">
        <v>冀北</v>
      </c>
      <c r="C75" s="27" t="str">
        <v>（6）天然气发电容量电费折合度电水平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f>IF(SUM(D75:O75)=0,"0",AVERAGEIF(D75:O75,"&lt;&gt;0",D75:O75))</f>
      </c>
      <c r="Q75" s="29"/>
    </row>
    <row customHeight="true" ht="19" r="76">
      <c r="A76" s="15">
        <v>72</v>
      </c>
      <c r="B76" s="30" t="str">
        <v>冀北</v>
      </c>
      <c r="C76" s="27" t="str">
        <v>（7）水电合约价差损益折合度电水平</v>
      </c>
      <c r="D76" s="30">
        <v>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f>IF(SUM(D76:O76)=0,"0",AVERAGEIF(D76:O76,"&lt;&gt;0",D76:O76))</f>
      </c>
      <c r="Q76" s="29"/>
    </row>
    <row customHeight="true" ht="19" r="77">
      <c r="A77" s="15">
        <v>73</v>
      </c>
      <c r="B77" s="30" t="str">
        <v>冀北</v>
      </c>
      <c r="C77" s="27" t="str">
        <v>（8）独立储能容量电费折合度电水平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f>IF(SUM(D77:O77)=0,"0",AVERAGEIF(D77:O77,"&lt;&gt;0",D77:O77))</f>
      </c>
      <c r="Q77" s="29"/>
    </row>
    <row customHeight="true" ht="19" r="78">
      <c r="A78" s="15">
        <v>74</v>
      </c>
      <c r="B78" s="30" t="str">
        <v>冀北</v>
      </c>
      <c r="C78" s="27" t="str">
        <v>（9）工商业峰谷分时损益折合度电水平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f>IF(SUM(D78:O78)=0,"0",AVERAGEIF(D78:O78,"&lt;&gt;0",D78:O78))</f>
      </c>
      <c r="Q78" s="29"/>
    </row>
    <row customHeight="true" ht="19" r="79">
      <c r="A79" s="15">
        <v>75</v>
      </c>
      <c r="B79" s="30" t="str">
        <v>冀北</v>
      </c>
      <c r="C79" s="27" t="str">
        <v>（10）功率因数调整电费损益折合度电水平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f>IF(SUM(D79:O79)=0,"0",AVERAGEIF(D79:O79,"&lt;&gt;0",D79:O79))</f>
      </c>
      <c r="Q79" s="29"/>
    </row>
    <row customHeight="true" ht="19" r="80">
      <c r="A80" s="15">
        <v>76</v>
      </c>
      <c r="B80" s="30" t="str">
        <v>冀北</v>
      </c>
      <c r="C80" s="27" t="str">
        <v>（11）新能源可持续发展价格结算机制差价结算费用折合度电水平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f>IF(SUM(D80:O80)=0,"0",AVERAGEIF(D80:O80,"&lt;&gt;0",D80:O80))</f>
      </c>
      <c r="Q80" s="29"/>
    </row>
    <row customHeight="true" ht="19" r="81">
      <c r="A81" s="15">
        <v>77</v>
      </c>
      <c r="B81" s="30" t="str">
        <v>冀北</v>
      </c>
      <c r="C81" s="27" t="str">
        <v>（12）趸售电价损益折合度电水平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f>IF(SUM(D81:O81)=0,"0",AVERAGEIF(D81:O81,"&lt;&gt;0",D81:O81))</f>
      </c>
      <c r="Q81" s="29"/>
    </row>
    <row customHeight="true" ht="19" r="82">
      <c r="A82" s="15">
        <v>78</v>
      </c>
      <c r="B82" s="30" t="str">
        <v>冀北</v>
      </c>
      <c r="C82" s="27" t="str">
        <v>（13）代理购电价格新增损益折合度电水平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f>IF(SUM(D82:O82)=0,"0",AVERAGEIF(D82:O82,"&lt;&gt;0",D82:O82))</f>
      </c>
      <c r="Q82" s="29"/>
    </row>
    <row customHeight="true" ht="19" r="83">
      <c r="A83" s="15">
        <v>79</v>
      </c>
      <c r="B83" s="30" t="str">
        <v>冀北</v>
      </c>
      <c r="C83" s="27" t="str">
        <v>（14）跨省跨区应急调度价差损益折合度电水平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f>IF(SUM(D83:O83)=0,"0",AVERAGEIF(D83:O83,"&lt;&gt;0",D83:O83))</f>
      </c>
      <c r="Q83" s="29"/>
    </row>
    <row customHeight="true" ht="19" r="84">
      <c r="A84" s="15">
        <v>79</v>
      </c>
      <c r="B84" s="30" t="str">
        <v>冀北</v>
      </c>
      <c r="C84" s="27" t="str">
        <v>（15）剩余优先发电价差损益度电水平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f>IF(SUM(D84:O84)=0,"0",AVERAGEIF(D84:O84,"&lt;&gt;0",D84:O84))</f>
      </c>
      <c r="Q84" s="29"/>
    </row>
    <row customHeight="true" ht="19" r="85">
      <c r="A85" s="15">
        <v>80</v>
      </c>
      <c r="B85" s="30" t="str">
        <v>冀北</v>
      </c>
      <c r="C85" s="27" t="str">
        <v>（16）其他费用折合度电水平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f>IF(SUM(D85:O85)=0,"0",AVERAGEIF(D85:O85,"&lt;&gt;0",D85:O85))</f>
      </c>
      <c r="Q85" s="29"/>
    </row>
    <row r="86">
      <c r="A86" s="15">
        <v>81</v>
      </c>
      <c r="B86" s="15" t="str">
        <v>山东</v>
      </c>
      <c r="C86" s="16" t="str">
        <v>代理工商业购电价格</v>
      </c>
      <c r="D86" s="15">
        <f>D87+D88+D89</f>
      </c>
      <c r="E86" s="15">
        <f>E87+E88+E89</f>
      </c>
      <c r="F86" s="15">
        <f>F87+F88+F89</f>
      </c>
      <c r="G86" s="15">
        <f>G87+G88+G89</f>
      </c>
      <c r="H86" s="15">
        <f>H87+H88+H89</f>
      </c>
      <c r="I86" s="15">
        <f>I87+I88+I89</f>
      </c>
      <c r="J86" s="15">
        <f>J87+J88+J89</f>
      </c>
      <c r="K86" s="15">
        <f>K87+K88+K89</f>
      </c>
      <c r="L86" s="15">
        <f>L87+L88+L89</f>
      </c>
      <c r="M86" s="15">
        <f>M87+M88+M89</f>
      </c>
      <c r="N86" s="15">
        <f>N87+N88+N89</f>
      </c>
      <c r="O86" s="15">
        <f>O87+O88+O89</f>
      </c>
      <c r="P86" s="15">
        <f>IF(SUM(D86:O86)=0,"0",AVERAGEIF(D86:O86,"&lt;&gt;0",D86:O86))</f>
      </c>
      <c r="Q86" s="14"/>
    </row>
    <row customHeight="true" ht="19" r="87">
      <c r="A87" s="15">
        <v>82</v>
      </c>
      <c r="B87" s="15" t="str">
        <v>山东</v>
      </c>
      <c r="C87" s="16" t="str">
        <v>（1）当月平均购电价格</v>
      </c>
      <c r="D87" s="15">
        <v>0.4003</v>
      </c>
      <c r="E87" s="15">
        <v>0.405</v>
      </c>
      <c r="F87" s="15">
        <v>0.404</v>
      </c>
      <c r="G87" s="15">
        <v>0.4041</v>
      </c>
      <c r="H87" s="15">
        <v>0.392</v>
      </c>
      <c r="I87" s="15">
        <v>0.3705</v>
      </c>
      <c r="J87" s="15">
        <v>0.3316</v>
      </c>
      <c r="K87" s="15">
        <v>0.3317</v>
      </c>
      <c r="L87" s="15">
        <v>0.3493</v>
      </c>
      <c r="M87" s="15">
        <v>0.4043</v>
      </c>
      <c r="N87" s="15">
        <v>0.4296</v>
      </c>
      <c r="O87" s="15">
        <v>0.4137</v>
      </c>
      <c r="P87" s="15">
        <f>IF(SUM(D87:O87)=0,"0",AVERAGEIF(D87:O87,"&lt;&gt;0",D87:O87))</f>
      </c>
      <c r="Q87" s="14"/>
    </row>
    <row customHeight="true" ht="19" r="88">
      <c r="A88" s="15">
        <v>83</v>
      </c>
      <c r="B88" s="15" t="str">
        <v>山东</v>
      </c>
      <c r="C88" s="16" t="str">
        <v>（2）容量补偿电价</v>
      </c>
      <c r="D88" s="15">
        <v>0.0705</v>
      </c>
      <c r="E88" s="15">
        <v>0.0705</v>
      </c>
      <c r="F88" s="15">
        <v>0.0705</v>
      </c>
      <c r="G88" s="15">
        <v>0.0705</v>
      </c>
      <c r="H88" s="15">
        <v>0.0705</v>
      </c>
      <c r="I88" s="15">
        <v>0.0705</v>
      </c>
      <c r="J88" s="15">
        <v>0.0705</v>
      </c>
      <c r="K88" s="15">
        <v>0.0705</v>
      </c>
      <c r="L88" s="15">
        <v>0.0705</v>
      </c>
      <c r="M88" s="15">
        <v>0.0705</v>
      </c>
      <c r="N88" s="15">
        <v>0.0705</v>
      </c>
      <c r="O88" s="15">
        <v>0.0705</v>
      </c>
      <c r="P88" s="15">
        <f>IF(SUM(D88:O88)=0,"0",AVERAGEIF(D88:O88,"&lt;&gt;0",D88:O88))</f>
      </c>
      <c r="Q88" s="14"/>
    </row>
    <row customHeight="true" ht="19" r="89">
      <c r="A89" s="15">
        <v>84</v>
      </c>
      <c r="B89" s="15" t="str">
        <v>山东</v>
      </c>
      <c r="C89" s="16" t="str">
        <v>（3）历史偏差电费折价</v>
      </c>
      <c r="D89" s="15">
        <v>-0.0011</v>
      </c>
      <c r="E89" s="15">
        <v>-0.0019</v>
      </c>
      <c r="F89" s="15">
        <v>0.0031</v>
      </c>
      <c r="G89" s="15">
        <v>-0.0111</v>
      </c>
      <c r="H89" s="15">
        <v>-0.011</v>
      </c>
      <c r="I89" s="15">
        <v>-0.0241</v>
      </c>
      <c r="J89" s="15">
        <v>-0.0256</v>
      </c>
      <c r="K89" s="15">
        <v>-0.0243</v>
      </c>
      <c r="L89" s="15">
        <v>-0.0076</v>
      </c>
      <c r="M89" s="15">
        <v>0.0239</v>
      </c>
      <c r="N89" s="15">
        <v>0.0349</v>
      </c>
      <c r="O89" s="15">
        <v>0.0283</v>
      </c>
      <c r="P89" s="15">
        <f>IF(SUM(D89:O89)=0,"0",AVERAGEIF(D89:O89,"&lt;&gt;0",D89:O89))</f>
      </c>
      <c r="Q89" s="14"/>
    </row>
    <row customHeight="true" ht="19" r="90">
      <c r="A90" s="15">
        <v>85</v>
      </c>
      <c r="B90" s="15" t="str">
        <v>山东</v>
      </c>
      <c r="C90" s="16" t="str">
        <v>上网环节线损费用折价</v>
      </c>
      <c r="D90" s="15">
        <v>0.0122</v>
      </c>
      <c r="E90" s="15">
        <v>0.0118</v>
      </c>
      <c r="F90" s="15">
        <v>0.0108</v>
      </c>
      <c r="G90" s="15">
        <v>0.0106</v>
      </c>
      <c r="H90" s="15">
        <v>0.0101</v>
      </c>
      <c r="I90" s="15">
        <v>0.0106</v>
      </c>
      <c r="J90" s="15">
        <v>0.0117</v>
      </c>
      <c r="K90" s="15">
        <v>0.0121</v>
      </c>
      <c r="L90" s="15">
        <v>0.0107</v>
      </c>
      <c r="M90" s="15">
        <v>0.0111</v>
      </c>
      <c r="N90" s="15">
        <v>0.0118</v>
      </c>
      <c r="O90" s="15">
        <v>0.0118</v>
      </c>
      <c r="P90" s="15">
        <f>IF(SUM(D90:O90)=0,"0",AVERAGEIF(D90:O90,"&lt;&gt;0",D90:O90))</f>
      </c>
      <c r="Q90" s="14"/>
    </row>
    <row customHeight="true" ht="19" r="91">
      <c r="A91" s="15">
        <v>86</v>
      </c>
      <c r="B91" s="15" t="str">
        <v>山东</v>
      </c>
      <c r="C91" s="16" t="str">
        <v>系统运行费用折合度电水平</v>
      </c>
      <c r="D91" s="15">
        <f>SUM(D92:D107)</f>
      </c>
      <c r="E91" s="15">
        <f>SUM(E92:E107)</f>
      </c>
      <c r="F91" s="15">
        <f>SUM(F92:F107)</f>
      </c>
      <c r="G91" s="15">
        <f>SUM(G92:G107)</f>
      </c>
      <c r="H91" s="15">
        <f>SUM(H92:H107)</f>
      </c>
      <c r="I91" s="15">
        <f>SUM(I92:I107)</f>
      </c>
      <c r="J91" s="15">
        <f>SUM(J92:J107)</f>
      </c>
      <c r="K91" s="15">
        <f>SUM(K92:K107)</f>
      </c>
      <c r="L91" s="15">
        <f>SUM(L92:L107)</f>
      </c>
      <c r="M91" s="15">
        <f>SUM(M92:M107)</f>
      </c>
      <c r="N91" s="15">
        <f>SUM(N92:N107)</f>
      </c>
      <c r="O91" s="15">
        <f>SUM(O92:O107)</f>
      </c>
      <c r="P91" s="15">
        <f>IF(SUM(D91:O91)=0,"0",AVERAGEIF(D91:O91,"&lt;&gt;0",D91:O91))</f>
      </c>
      <c r="Q91" s="14"/>
    </row>
    <row customHeight="true" ht="19" r="92">
      <c r="A92" s="15">
        <v>87</v>
      </c>
      <c r="B92" s="15" t="str">
        <v>山东</v>
      </c>
      <c r="C92" s="16" t="str">
        <v>（1）辅助服务费用折合度电水平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f>IF(SUM(D92:O92)=0,"0",AVERAGEIF(D92:O92,"&lt;&gt;0",D92:O92))</f>
      </c>
      <c r="Q92" s="14"/>
    </row>
    <row customHeight="true" ht="19" r="93">
      <c r="A93" s="15">
        <v>88</v>
      </c>
      <c r="B93" s="15" t="str">
        <v>山东</v>
      </c>
      <c r="C93" s="16" t="str">
        <v>（2）抽水蓄能容量电费折合度电水平</v>
      </c>
      <c r="D93" s="15">
        <v>0.0057</v>
      </c>
      <c r="E93" s="15">
        <v>0.0064</v>
      </c>
      <c r="F93" s="15">
        <v>0.0056</v>
      </c>
      <c r="G93" s="15">
        <v>0.0056</v>
      </c>
      <c r="H93" s="15">
        <v>0.0054</v>
      </c>
      <c r="I93" s="15">
        <v>0.0055</v>
      </c>
      <c r="J93" s="15">
        <v>0.0053</v>
      </c>
      <c r="K93" s="15">
        <v>0.0044</v>
      </c>
      <c r="L93" s="15">
        <v>0.0041</v>
      </c>
      <c r="M93" s="15">
        <v>0.0046</v>
      </c>
      <c r="N93" s="15">
        <v>0.0053</v>
      </c>
      <c r="O93" s="15">
        <v>0.0048</v>
      </c>
      <c r="P93" s="15">
        <f>IF(SUM(D93:O93)=0,"0",AVERAGEIF(D93:O93,"&lt;&gt;0",D93:O93))</f>
      </c>
      <c r="Q93" s="14"/>
    </row>
    <row customHeight="true" ht="19" r="94">
      <c r="A94" s="15">
        <v>89</v>
      </c>
      <c r="B94" s="15" t="str">
        <v>山东</v>
      </c>
      <c r="C94" s="16" t="str">
        <v>（3）上网环节线损代理采购损益折合度电水平</v>
      </c>
      <c r="D94" s="15">
        <v>0.0135</v>
      </c>
      <c r="E94" s="15">
        <v>-0.0012</v>
      </c>
      <c r="F94" s="15">
        <v>0.0007</v>
      </c>
      <c r="G94" s="15">
        <v>-0.0005</v>
      </c>
      <c r="H94" s="15">
        <v>-0.0019</v>
      </c>
      <c r="I94" s="15">
        <v>-0.0016</v>
      </c>
      <c r="J94" s="15">
        <v>-0.0004</v>
      </c>
      <c r="K94" s="15">
        <v>-0.0009</v>
      </c>
      <c r="L94" s="15">
        <v>0.0007</v>
      </c>
      <c r="M94" s="15">
        <v>0.0002</v>
      </c>
      <c r="N94" s="15">
        <v>0.0016</v>
      </c>
      <c r="O94" s="15">
        <v>0.0005</v>
      </c>
      <c r="P94" s="15">
        <f>IF(SUM(D94:O94)=0,"0",AVERAGEIF(D94:O94,"&lt;&gt;0",D94:O94))</f>
      </c>
      <c r="Q94" s="14"/>
    </row>
    <row customHeight="true" ht="19" r="95">
      <c r="A95" s="15">
        <v>90</v>
      </c>
      <c r="B95" s="15" t="str">
        <v>山东</v>
      </c>
      <c r="C95" s="16" t="str">
        <v>（4）电价交叉补贴新增损益折合度电水平</v>
      </c>
      <c r="D95" s="15">
        <v>-0.018</v>
      </c>
      <c r="E95" s="15">
        <v>-0.0085</v>
      </c>
      <c r="F95" s="15">
        <v>-0.0054</v>
      </c>
      <c r="G95" s="15">
        <v>-0.0115</v>
      </c>
      <c r="H95" s="15">
        <v>-0.0203</v>
      </c>
      <c r="I95" s="15">
        <v>-0.0127</v>
      </c>
      <c r="J95" s="15">
        <v>0.0053</v>
      </c>
      <c r="K95" s="15">
        <v>0.0135</v>
      </c>
      <c r="L95" s="15">
        <v>0.0033</v>
      </c>
      <c r="M95" s="15">
        <v>-0.0122</v>
      </c>
      <c r="N95" s="15">
        <v>-0.0076</v>
      </c>
      <c r="O95" s="15">
        <v>-0.0196</v>
      </c>
      <c r="P95" s="15">
        <f>IF(SUM(D95:O95)=0,"0",AVERAGEIF(D95:O95,"&lt;&gt;0",D95:O95))</f>
      </c>
      <c r="Q95" s="14"/>
    </row>
    <row customHeight="true" ht="19" r="96">
      <c r="A96" s="15">
        <v>91</v>
      </c>
      <c r="B96" s="15" t="str">
        <v>山东</v>
      </c>
      <c r="C96" s="16" t="str">
        <v>（5）煤电容量电费折合度电水平</v>
      </c>
      <c r="D96" s="15">
        <v>0.0214</v>
      </c>
      <c r="E96" s="15">
        <v>0.023</v>
      </c>
      <c r="F96" s="15">
        <v>0.0199</v>
      </c>
      <c r="G96" s="15">
        <v>0.0217</v>
      </c>
      <c r="H96" s="15">
        <v>0.0197</v>
      </c>
      <c r="I96" s="15">
        <v>0.0217</v>
      </c>
      <c r="J96" s="15">
        <v>0.0189</v>
      </c>
      <c r="K96" s="15">
        <v>0.0162</v>
      </c>
      <c r="L96" s="15">
        <v>0.0149</v>
      </c>
      <c r="M96" s="15">
        <v>0.0189</v>
      </c>
      <c r="N96" s="15">
        <v>0.0188</v>
      </c>
      <c r="O96" s="15">
        <v>0.0174</v>
      </c>
      <c r="P96" s="15">
        <f>IF(SUM(D96:O96)=0,"0",AVERAGEIF(D96:O96,"&lt;&gt;0",D96:O96))</f>
      </c>
      <c r="Q96" s="14"/>
    </row>
    <row customHeight="true" ht="19" r="97">
      <c r="A97" s="15">
        <v>92</v>
      </c>
      <c r="B97" s="15" t="str">
        <v>山东</v>
      </c>
      <c r="C97" s="16" t="str">
        <v>（6）天然气发电容量电费折合度电水平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f>IF(SUM(D97:O97)=0,"0",AVERAGEIF(D97:O97,"&lt;&gt;0",D97:O97))</f>
      </c>
      <c r="Q97" s="14"/>
    </row>
    <row customHeight="true" ht="19" r="98">
      <c r="A98" s="15">
        <v>93</v>
      </c>
      <c r="B98" s="15" t="str">
        <v>山东</v>
      </c>
      <c r="C98" s="16" t="str">
        <v>（7）水电合约价差损益折合度电水平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f>IF(SUM(D98:O98)=0,"0",AVERAGEIF(D98:O98,"&lt;&gt;0",D98:O98))</f>
      </c>
      <c r="Q98" s="14"/>
    </row>
    <row customHeight="true" ht="19" r="99">
      <c r="A99" s="15">
        <v>94</v>
      </c>
      <c r="B99" s="15" t="str">
        <v>山东</v>
      </c>
      <c r="C99" s="16" t="str">
        <v>（8）独立储能容量电费折合度电水平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f>IF(SUM(D99:O99)=0,"0",AVERAGEIF(D99:O99,"&lt;&gt;0",D99:O99))</f>
      </c>
      <c r="Q99" s="14"/>
    </row>
    <row customHeight="true" ht="19" r="100">
      <c r="A100" s="15">
        <v>95</v>
      </c>
      <c r="B100" s="15" t="str">
        <v>山东</v>
      </c>
      <c r="C100" s="16" t="str">
        <v>（9）工商业峰谷分时损益折合度电水平</v>
      </c>
      <c r="D100" s="15">
        <v>0.0032</v>
      </c>
      <c r="E100" s="15">
        <v>0.0026</v>
      </c>
      <c r="F100" s="15">
        <v>0.0044</v>
      </c>
      <c r="G100" s="15">
        <v>0.0042</v>
      </c>
      <c r="H100" s="15">
        <v>0.0025</v>
      </c>
      <c r="I100" s="15">
        <v>0.0024</v>
      </c>
      <c r="J100" s="15">
        <v>0.0022</v>
      </c>
      <c r="K100" s="15">
        <v>-0.0053</v>
      </c>
      <c r="L100" s="15">
        <v>-0.0094</v>
      </c>
      <c r="M100" s="15">
        <v>-0.0095</v>
      </c>
      <c r="N100" s="15">
        <v>0.0028</v>
      </c>
      <c r="O100" s="15">
        <v>0.0028</v>
      </c>
      <c r="P100" s="15">
        <f>IF(SUM(D100:O100)=0,"0",AVERAGEIF(D100:O100,"&lt;&gt;0",D100:O100))</f>
      </c>
      <c r="Q100" s="14"/>
    </row>
    <row customHeight="true" ht="19" r="101">
      <c r="A101" s="15">
        <v>96</v>
      </c>
      <c r="B101" s="15" t="str">
        <v>山东</v>
      </c>
      <c r="C101" s="16" t="str">
        <v>（10）功率因数调整电费损益折合度电水平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f>IF(SUM(D101:O101)=0,"0",AVERAGEIF(D101:O101,"&lt;&gt;0",D101:O101))</f>
      </c>
      <c r="Q101" s="14"/>
    </row>
    <row customHeight="true" ht="19" r="102">
      <c r="A102" s="15">
        <v>97</v>
      </c>
      <c r="B102" s="15" t="str">
        <v>山东</v>
      </c>
      <c r="C102" s="16" t="str">
        <v>（11）新能源可持续发展价格结算机制差价结算费用折合度电水平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f>IF(SUM(D102:O102)=0,"0",AVERAGEIF(D102:O102,"&lt;&gt;0",D102:O102))</f>
      </c>
      <c r="Q102" s="14"/>
    </row>
    <row customHeight="true" ht="19" r="103">
      <c r="A103" s="15">
        <v>98</v>
      </c>
      <c r="B103" s="15" t="str">
        <v>山东</v>
      </c>
      <c r="C103" s="16" t="str">
        <v>（12）趸售电价损益折合度电水平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f>IF(SUM(D103:O103)=0,"0",AVERAGEIF(D103:O103,"&lt;&gt;0",D103:O103))</f>
      </c>
      <c r="Q103" s="14"/>
    </row>
    <row customHeight="true" ht="19" r="104">
      <c r="A104" s="15">
        <v>99</v>
      </c>
      <c r="B104" s="15" t="str">
        <v>山东</v>
      </c>
      <c r="C104" s="39" t="str">
        <v>（13）代理购电价格新增损益折合度电水平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f>IF(SUM(D104:O104)=0,"0",AVERAGEIF(D104:O104,"&lt;&gt;0",D104:O104))</f>
      </c>
      <c r="Q104" s="14"/>
    </row>
    <row customHeight="true" ht="19" r="105">
      <c r="A105" s="15">
        <v>99</v>
      </c>
      <c r="B105" s="15" t="str">
        <v>山东</v>
      </c>
      <c r="C105" s="39" t="str">
        <v>（14）跨省跨区应急调度价差损益折合度电水平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f>IF(SUM(D105:O105)=0,"0",AVERAGEIF(D105:O105,"&lt;&gt;0",D105:O105))</f>
      </c>
      <c r="Q105" s="14"/>
    </row>
    <row customHeight="true" ht="19" r="106">
      <c r="A106" s="15">
        <v>100</v>
      </c>
      <c r="B106" s="15" t="str">
        <v>山东</v>
      </c>
      <c r="C106" s="39" t="str">
        <v>（15）剩余优先发电价差损益度电水平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f>IF(SUM(D106:O106)=0,"0",AVERAGEIF(D106:O106,"&lt;&gt;0",D106:O106))</f>
      </c>
      <c r="Q106" s="14"/>
    </row>
    <row customHeight="true" ht="19" r="107">
      <c r="A107" s="15">
        <v>101</v>
      </c>
      <c r="B107" s="15" t="str">
        <v>山东</v>
      </c>
      <c r="C107" s="39" t="str">
        <v>（16）其他费用折合度电水平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f>IF(SUM(D107:O107)=0,"0",AVERAGEIF(D107:O107,"&lt;&gt;0",D107:O107))</f>
      </c>
      <c r="Q107" s="14"/>
    </row>
    <row r="108">
      <c r="A108" s="15">
        <v>102</v>
      </c>
      <c r="B108" s="30" t="str">
        <v>山西</v>
      </c>
      <c r="C108" s="27" t="str">
        <v>代理工商业购电价格</v>
      </c>
      <c r="D108" s="30">
        <f>D109+D110</f>
      </c>
      <c r="E108" s="30">
        <f>E109+E110</f>
      </c>
      <c r="F108" s="30">
        <f>F109+F110</f>
      </c>
      <c r="G108" s="30">
        <f>G109+G110</f>
      </c>
      <c r="H108" s="30">
        <f>H109+H110</f>
      </c>
      <c r="I108" s="30">
        <f>I109+I110</f>
      </c>
      <c r="J108" s="30">
        <f>J109+J110</f>
      </c>
      <c r="K108" s="30">
        <f>K109+K110</f>
      </c>
      <c r="L108" s="30">
        <f>L109+L110</f>
      </c>
      <c r="M108" s="30">
        <f>M109+M110</f>
      </c>
      <c r="N108" s="30">
        <f>N109+N110</f>
      </c>
      <c r="O108" s="30">
        <f>O109+O110</f>
      </c>
      <c r="P108" s="30">
        <f>IF(SUM(D108:O108)=0,"0",AVERAGEIF(D108:O108,"&lt;&gt;0",D108:O108))</f>
      </c>
      <c r="Q108" s="29"/>
    </row>
    <row customHeight="true" ht="19" r="109">
      <c r="A109" s="15">
        <v>103</v>
      </c>
      <c r="B109" s="30" t="str">
        <v>山西</v>
      </c>
      <c r="C109" s="27" t="str">
        <v>（1）当月平均购电价格</v>
      </c>
      <c r="D109" s="30">
        <v>0.394424</v>
      </c>
      <c r="E109" s="30">
        <v>0.38572</v>
      </c>
      <c r="F109" s="30">
        <v>0.379734</v>
      </c>
      <c r="G109" s="30">
        <v>0.336491</v>
      </c>
      <c r="H109" s="30">
        <v>0.336234</v>
      </c>
      <c r="I109" s="30">
        <v>0.336563</v>
      </c>
      <c r="J109" s="30">
        <v>0.334417</v>
      </c>
      <c r="K109" s="30">
        <v>0.335398</v>
      </c>
      <c r="L109" s="30">
        <v>0.334516</v>
      </c>
      <c r="M109" s="30">
        <v>0.350185</v>
      </c>
      <c r="N109" s="30">
        <v>0.386744</v>
      </c>
      <c r="O109" s="30">
        <v>0.385446</v>
      </c>
      <c r="P109" s="30">
        <f>IF(SUM(D109:O109)=0,"0",AVERAGEIF(D109:O109,"&lt;&gt;0",D109:O109))</f>
      </c>
      <c r="Q109" s="29"/>
    </row>
    <row customHeight="true" ht="19" r="110">
      <c r="A110" s="15">
        <v>104</v>
      </c>
      <c r="B110" s="30" t="str">
        <v>山西</v>
      </c>
      <c r="C110" s="27" t="str">
        <v>（2）历史偏差电费折价</v>
      </c>
      <c r="D110" s="30">
        <v>0.001861</v>
      </c>
      <c r="E110" s="30">
        <v>0.007678</v>
      </c>
      <c r="F110" s="30">
        <v>0.008816</v>
      </c>
      <c r="G110" s="30">
        <v>0.003059</v>
      </c>
      <c r="H110" s="30">
        <v>0.005957</v>
      </c>
      <c r="I110" s="30">
        <v>0.005702</v>
      </c>
      <c r="J110" s="30">
        <v>0.00438</v>
      </c>
      <c r="K110" s="30">
        <v>0.001888</v>
      </c>
      <c r="L110" s="30">
        <v>0.006137</v>
      </c>
      <c r="M110" s="30">
        <v>0.004509</v>
      </c>
      <c r="N110" s="30">
        <v>0.002146</v>
      </c>
      <c r="O110" s="30">
        <v>0.013381</v>
      </c>
      <c r="P110" s="30">
        <f>IF(SUM(D110:O110)=0,"0",AVERAGEIF(D110:O110,"&lt;&gt;0",D110:O110))</f>
      </c>
      <c r="Q110" s="29"/>
    </row>
    <row customHeight="true" ht="19" r="111">
      <c r="A111" s="15">
        <v>105</v>
      </c>
      <c r="B111" s="30" t="str">
        <v>山西</v>
      </c>
      <c r="C111" s="27" t="str">
        <v>上网环节线损费用折价</v>
      </c>
      <c r="D111" s="30">
        <v>0.01439</v>
      </c>
      <c r="E111" s="30">
        <v>0.014073</v>
      </c>
      <c r="F111" s="30">
        <v>0.013854</v>
      </c>
      <c r="G111" s="30">
        <v>0.012277</v>
      </c>
      <c r="H111" s="30">
        <v>0.012267</v>
      </c>
      <c r="I111" s="30">
        <v>0.012279</v>
      </c>
      <c r="J111" s="30">
        <v>0.012201</v>
      </c>
      <c r="K111" s="30">
        <v>0.012237</v>
      </c>
      <c r="L111" s="30">
        <v>0.012205</v>
      </c>
      <c r="M111" s="30">
        <v>0.012776</v>
      </c>
      <c r="N111" s="30">
        <v>0.01411</v>
      </c>
      <c r="O111" s="30">
        <v>0.014063</v>
      </c>
      <c r="P111" s="30">
        <f>IF(SUM(D111:O111)=0,"0",AVERAGEIF(D111:O111,"&lt;&gt;0",D111:O111))</f>
      </c>
      <c r="Q111" s="29"/>
    </row>
    <row customHeight="true" ht="19" r="112">
      <c r="A112" s="15">
        <v>106</v>
      </c>
      <c r="B112" s="30" t="str">
        <v>山西</v>
      </c>
      <c r="C112" s="27" t="str">
        <v>系统运行费用折合度电水平</v>
      </c>
      <c r="D112" s="30">
        <f>SUM(D113:D128)</f>
      </c>
      <c r="E112" s="30">
        <f>SUM(E113:E128)</f>
      </c>
      <c r="F112" s="30">
        <f>SUM(F113:F128)</f>
      </c>
      <c r="G112" s="30">
        <f>SUM(G113:G128)</f>
      </c>
      <c r="H112" s="30">
        <f>SUM(H113:H128)</f>
      </c>
      <c r="I112" s="30">
        <f>SUM(I113:I128)</f>
      </c>
      <c r="J112" s="30">
        <f>SUM(J113:J128)</f>
      </c>
      <c r="K112" s="30">
        <f>SUM(K113:K128)</f>
      </c>
      <c r="L112" s="30">
        <f>SUM(L113:L128)</f>
      </c>
      <c r="M112" s="30">
        <f>SUM(M113:M128)</f>
      </c>
      <c r="N112" s="30">
        <f>SUM(N113:N128)</f>
      </c>
      <c r="O112" s="30">
        <f>SUM(O113:O128)</f>
      </c>
      <c r="P112" s="30">
        <f>IF(SUM(D112:O112)=0,"0",AVERAGEIF(D112:O112,"&lt;&gt;0",D112:O112))</f>
      </c>
      <c r="Q112" s="29"/>
    </row>
    <row customHeight="true" ht="19" r="113">
      <c r="A113" s="15">
        <v>107</v>
      </c>
      <c r="B113" s="30" t="str">
        <v>山西</v>
      </c>
      <c r="C113" s="27" t="str">
        <v>（1）辅助服务费用折合度电水平</v>
      </c>
      <c r="D113" s="30">
        <v>0</v>
      </c>
      <c r="E113" s="30">
        <v>0</v>
      </c>
      <c r="F113" s="30">
        <v>0</v>
      </c>
      <c r="G113" s="30">
        <v>0</v>
      </c>
      <c r="H113" s="30">
        <v>0.001173</v>
      </c>
      <c r="I113" s="30">
        <v>0.002818</v>
      </c>
      <c r="J113" s="30">
        <v>0.002663</v>
      </c>
      <c r="K113" s="30">
        <v>0.002604</v>
      </c>
      <c r="L113" s="30">
        <v>0.003238</v>
      </c>
      <c r="M113" s="30">
        <v>0.003364</v>
      </c>
      <c r="N113" s="30">
        <v>0.00262</v>
      </c>
      <c r="O113" s="30">
        <v>0.002627</v>
      </c>
      <c r="P113" s="30">
        <f>IF(SUM(D113:O113)=0,"0",AVERAGEIF(D113:O113,"&lt;&gt;0",D113:O113))</f>
      </c>
      <c r="Q113" s="29"/>
    </row>
    <row customHeight="true" ht="19" r="114">
      <c r="A114" s="15">
        <v>108</v>
      </c>
      <c r="B114" s="30" t="str">
        <v>山西</v>
      </c>
      <c r="C114" s="27" t="str">
        <v>（2）抽水蓄能容量电费折合度电水平</v>
      </c>
      <c r="D114" s="30">
        <v>0.002515</v>
      </c>
      <c r="E114" s="30">
        <v>0.00288</v>
      </c>
      <c r="F114" s="30">
        <v>0.002752</v>
      </c>
      <c r="G114" s="30">
        <v>0.00278</v>
      </c>
      <c r="H114" s="30">
        <v>0.002511</v>
      </c>
      <c r="I114" s="30">
        <v>0.002557</v>
      </c>
      <c r="J114" s="30">
        <v>0.002724</v>
      </c>
      <c r="K114" s="30">
        <v>0.002745</v>
      </c>
      <c r="L114" s="30">
        <v>0.002692</v>
      </c>
      <c r="M114" s="30">
        <v>0.002783</v>
      </c>
      <c r="N114" s="30">
        <v>0.002562</v>
      </c>
      <c r="O114" s="30">
        <v>0.002193</v>
      </c>
      <c r="P114" s="30">
        <f>IF(SUM(D114:O114)=0,"0",AVERAGEIF(D114:O114,"&lt;&gt;0",D114:O114))</f>
      </c>
      <c r="Q114" s="29"/>
    </row>
    <row customHeight="true" ht="19" r="115">
      <c r="A115" s="15">
        <v>109</v>
      </c>
      <c r="B115" s="30" t="str">
        <v>山西</v>
      </c>
      <c r="C115" s="27" t="str">
        <v>（3）上网环节线损代理采购损益折合度电水平</v>
      </c>
      <c r="D115" s="30">
        <v>-0.000868</v>
      </c>
      <c r="E115" s="30">
        <v>0.000695</v>
      </c>
      <c r="F115" s="30">
        <v>0.001325</v>
      </c>
      <c r="G115" s="30">
        <v>0.000643</v>
      </c>
      <c r="H115" s="30">
        <v>-0.000767</v>
      </c>
      <c r="I115" s="30">
        <v>-0.001285</v>
      </c>
      <c r="J115" s="30">
        <v>0.001745</v>
      </c>
      <c r="K115" s="30">
        <v>0.000467</v>
      </c>
      <c r="L115" s="30">
        <v>0.00112</v>
      </c>
      <c r="M115" s="30">
        <v>-0.000968</v>
      </c>
      <c r="N115" s="30">
        <v>-0.000877</v>
      </c>
      <c r="O115" s="30">
        <v>-0.001864</v>
      </c>
      <c r="P115" s="30">
        <f>IF(SUM(D115:O115)=0,"0",AVERAGEIF(D115:O115,"&lt;&gt;0",D115:O115))</f>
      </c>
      <c r="Q115" s="29"/>
    </row>
    <row customHeight="true" ht="19" r="116">
      <c r="A116" s="15">
        <v>110</v>
      </c>
      <c r="B116" s="30" t="str">
        <v>山西</v>
      </c>
      <c r="C116" s="27" t="str">
        <v>（4）电价交叉补贴新增损益折合度电水平</v>
      </c>
      <c r="D116" s="30">
        <v>0.026993</v>
      </c>
      <c r="E116" s="30">
        <v>0.004495</v>
      </c>
      <c r="F116" s="30">
        <v>0.013195</v>
      </c>
      <c r="G116" s="30">
        <v>-0.00143</v>
      </c>
      <c r="H116" s="30">
        <v>-0.004854</v>
      </c>
      <c r="I116" s="30">
        <v>-0.003562</v>
      </c>
      <c r="J116" s="30">
        <v>-0.001607</v>
      </c>
      <c r="K116" s="30">
        <v>-0.011092</v>
      </c>
      <c r="L116" s="30">
        <v>-0.000202</v>
      </c>
      <c r="M116" s="30">
        <v>-0.010108</v>
      </c>
      <c r="N116" s="30">
        <v>0.006622</v>
      </c>
      <c r="O116" s="30">
        <v>0.022259</v>
      </c>
      <c r="P116" s="30">
        <f>IF(SUM(D116:O116)=0,"0",AVERAGEIF(D116:O116,"&lt;&gt;0",D116:O116))</f>
      </c>
      <c r="Q116" s="29"/>
    </row>
    <row customHeight="true" ht="19" r="117">
      <c r="A117" s="15">
        <v>111</v>
      </c>
      <c r="B117" s="30" t="str">
        <v>山西</v>
      </c>
      <c r="C117" s="27" t="str">
        <v>（5）煤电容量电费折合度电水平</v>
      </c>
      <c r="D117" s="30">
        <v>0.015004</v>
      </c>
      <c r="E117" s="30">
        <v>0.020389</v>
      </c>
      <c r="F117" s="30">
        <v>0.017126</v>
      </c>
      <c r="G117" s="30">
        <v>0.015587</v>
      </c>
      <c r="H117" s="30">
        <v>0.014296</v>
      </c>
      <c r="I117" s="30">
        <v>0.015232</v>
      </c>
      <c r="J117" s="30">
        <v>0.01675</v>
      </c>
      <c r="K117" s="30">
        <v>0.016145</v>
      </c>
      <c r="L117" s="30">
        <v>0.018155</v>
      </c>
      <c r="M117" s="30">
        <v>0.018824</v>
      </c>
      <c r="N117" s="30">
        <v>0.015715</v>
      </c>
      <c r="O117" s="30">
        <v>0.013126</v>
      </c>
      <c r="P117" s="30">
        <f>IF(SUM(D117:O117)=0,"0",AVERAGEIF(D117:O117,"&lt;&gt;0",D117:O117))</f>
      </c>
      <c r="Q117" s="29"/>
    </row>
    <row customHeight="true" ht="19" r="118">
      <c r="A118" s="15">
        <v>112</v>
      </c>
      <c r="B118" s="30" t="str">
        <v>山西</v>
      </c>
      <c r="C118" s="27" t="str">
        <v>（6）天然气发电容量电费折合度电水平</v>
      </c>
      <c r="D118" s="30">
        <v>0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f>IF(SUM(D118:O118)=0,"0",AVERAGEIF(D118:O118,"&lt;&gt;0",D118:O118))</f>
      </c>
      <c r="Q118" s="29"/>
    </row>
    <row customHeight="true" ht="19" r="119">
      <c r="A119" s="15">
        <v>113</v>
      </c>
      <c r="B119" s="30" t="str">
        <v>山西</v>
      </c>
      <c r="C119" s="27" t="str">
        <v>（7）水电合约价差损益折合度电水平</v>
      </c>
      <c r="D119" s="30">
        <v>0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f>IF(SUM(D119:O119)=0,"0",AVERAGEIF(D119:O119,"&lt;&gt;0",D119:O119))</f>
      </c>
      <c r="Q119" s="29"/>
    </row>
    <row customHeight="true" ht="19" r="120">
      <c r="A120" s="15">
        <v>114</v>
      </c>
      <c r="B120" s="30" t="str">
        <v>山西</v>
      </c>
      <c r="C120" s="27" t="str">
        <v>（8）独立储能容量电费折合度电水平</v>
      </c>
      <c r="D120" s="30">
        <v>0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f>IF(SUM(D120:O120)=0,"0",AVERAGEIF(D120:O120,"&lt;&gt;0",D120:O120))</f>
      </c>
      <c r="Q120" s="29"/>
    </row>
    <row customHeight="true" ht="19" r="121">
      <c r="A121" s="15">
        <v>115</v>
      </c>
      <c r="B121" s="30" t="str">
        <v>山西</v>
      </c>
      <c r="C121" s="27" t="str">
        <v>（9）工商业峰谷分时损益折合度电水平</v>
      </c>
      <c r="D121" s="30">
        <v>0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f>IF(SUM(D121:O121)=0,"0",AVERAGEIF(D121:O121,"&lt;&gt;0",D121:O121))</f>
      </c>
      <c r="Q121" s="29"/>
    </row>
    <row customHeight="true" ht="19" r="122">
      <c r="A122" s="15">
        <v>116</v>
      </c>
      <c r="B122" s="30" t="str">
        <v>山西</v>
      </c>
      <c r="C122" s="27" t="str">
        <v>（10）功率因数调整电费损益折合度电水平</v>
      </c>
      <c r="D122" s="30">
        <v>0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f>IF(SUM(D122:O122)=0,"0",AVERAGEIF(D122:O122,"&lt;&gt;0",D122:O122))</f>
      </c>
      <c r="Q122" s="29"/>
    </row>
    <row customHeight="true" ht="19" r="123">
      <c r="A123" s="15">
        <v>117</v>
      </c>
      <c r="B123" s="30" t="str">
        <v>山西</v>
      </c>
      <c r="C123" s="27" t="str">
        <v>（11）新能源可持续发展价格结算机制差价结算费用折合度电水平</v>
      </c>
      <c r="D123" s="30">
        <v>0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f>IF(SUM(D123:O123)=0,"0",AVERAGEIF(D123:O123,"&lt;&gt;0",D123:O123))</f>
      </c>
      <c r="Q123" s="29"/>
    </row>
    <row customHeight="true" ht="19" r="124">
      <c r="A124" s="15">
        <v>118</v>
      </c>
      <c r="B124" s="30" t="str">
        <v>山西</v>
      </c>
      <c r="C124" s="27" t="str">
        <v>（12）趸售电价损益折合度电水平</v>
      </c>
      <c r="D124" s="30">
        <v>0.003678</v>
      </c>
      <c r="E124" s="30">
        <v>0.004086</v>
      </c>
      <c r="F124" s="30">
        <v>0.00355</v>
      </c>
      <c r="G124" s="30">
        <v>0.002343</v>
      </c>
      <c r="H124" s="30">
        <v>0.002119</v>
      </c>
      <c r="I124" s="30">
        <v>0.002033</v>
      </c>
      <c r="J124" s="30">
        <v>0.002133</v>
      </c>
      <c r="K124" s="30">
        <v>0.002148</v>
      </c>
      <c r="L124" s="30">
        <v>0.002326</v>
      </c>
      <c r="M124" s="30">
        <v>0.002481</v>
      </c>
      <c r="N124" s="30">
        <v>0.002793</v>
      </c>
      <c r="O124" s="30">
        <v>0.003386</v>
      </c>
      <c r="P124" s="30">
        <f>IF(SUM(D124:O124)=0,"0",AVERAGEIF(D124:O124,"&lt;&gt;0",D124:O124))</f>
      </c>
      <c r="Q124" s="29"/>
    </row>
    <row customHeight="true" ht="19" r="125">
      <c r="A125" s="15">
        <v>118</v>
      </c>
      <c r="B125" s="30" t="str">
        <v>山西</v>
      </c>
      <c r="C125" s="27" t="str">
        <v>（13）代理购电价格新增损益折合度电水平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f>IF(SUM(D125:O125)=0,"0",AVERAGEIF(D125:O125,"&lt;&gt;0",D125:O125))</f>
      </c>
      <c r="Q125" s="29"/>
    </row>
    <row r="126">
      <c r="A126" s="15">
        <v>119</v>
      </c>
      <c r="B126" s="30" t="str">
        <v>山西</v>
      </c>
      <c r="C126" s="27" t="str">
        <v>（14）跨省跨区应急调度价差损益折合度电水平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f>IF(SUM(D126:O126)=0,"0",AVERAGEIF(D126:O126,"&lt;&gt;0",D126:O126))</f>
      </c>
      <c r="Q126" s="29"/>
    </row>
    <row customHeight="true" ht="19" r="127">
      <c r="A127" s="15">
        <v>120</v>
      </c>
      <c r="B127" s="30" t="str">
        <v>山西</v>
      </c>
      <c r="C127" s="27" t="str">
        <v>（15）剩余优先发电价差损益度电水平</v>
      </c>
      <c r="D127" s="30">
        <v>0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f>IF(SUM(D127:O127)=0,"0",AVERAGEIF(D127:O127,"&lt;&gt;0",D127:O127))</f>
      </c>
      <c r="Q127" s="29"/>
    </row>
    <row r="128">
      <c r="A128" s="15">
        <v>121</v>
      </c>
      <c r="B128" s="30" t="str">
        <v>山西</v>
      </c>
      <c r="C128" s="27" t="str">
        <v>（16）其他费用折合度电水平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f>IF(SUM(D128:O128)=0,"0",AVERAGEIF(D128:O128,"&lt;&gt;0",D128:O128))</f>
      </c>
      <c r="Q128" s="29"/>
    </row>
    <row customHeight="true" ht="19" r="129">
      <c r="A129" s="15">
        <v>122</v>
      </c>
      <c r="B129" s="15" t="str">
        <v>蒙西</v>
      </c>
      <c r="C129" s="16" t="str">
        <v>代理工商业购电价格</v>
      </c>
      <c r="D129" s="15">
        <f>D130+D131</f>
      </c>
      <c r="E129" s="15">
        <f>E130+E131</f>
      </c>
      <c r="F129" s="15">
        <f>F130+F131</f>
      </c>
      <c r="G129" s="15">
        <f>G130+G131</f>
      </c>
      <c r="H129" s="15">
        <f>H130+H131</f>
      </c>
      <c r="I129" s="15">
        <f>I130+I131</f>
      </c>
      <c r="J129" s="15">
        <f>J130+J131</f>
      </c>
      <c r="K129" s="15">
        <f>K130+K131</f>
      </c>
      <c r="L129" s="15">
        <f>L130+L131</f>
      </c>
      <c r="M129" s="15">
        <f>M130+M131</f>
      </c>
      <c r="N129" s="15">
        <f>N130+N131</f>
      </c>
      <c r="O129" s="15">
        <f>O130+O131</f>
      </c>
      <c r="P129" s="15">
        <f>IF(SUM(D129:O129)=0,"0",AVERAGEIF(D129:O129,"&lt;&gt;0",D129:O129))</f>
      </c>
      <c r="Q129" s="14"/>
    </row>
    <row customHeight="true" ht="19" r="130">
      <c r="A130" s="15">
        <v>123</v>
      </c>
      <c r="B130" s="15" t="str">
        <v>蒙西</v>
      </c>
      <c r="C130" s="16" t="str">
        <v>（1）当月平均购电价格</v>
      </c>
      <c r="D130" s="15">
        <v>0.2965</v>
      </c>
      <c r="E130" s="15">
        <v>0.3001</v>
      </c>
      <c r="F130" s="15">
        <v>0.2942</v>
      </c>
      <c r="G130" s="15">
        <v>0.3</v>
      </c>
      <c r="H130" s="15">
        <v>0.2873</v>
      </c>
      <c r="I130" s="15">
        <v>0.2836</v>
      </c>
      <c r="J130" s="15">
        <v>0.2875</v>
      </c>
      <c r="K130" s="15">
        <v>0.2883</v>
      </c>
      <c r="L130" s="15">
        <v>0.2877</v>
      </c>
      <c r="M130" s="15">
        <v>0.2905</v>
      </c>
      <c r="N130" s="15">
        <v>0.2898</v>
      </c>
      <c r="O130" s="15">
        <v>0.2873</v>
      </c>
      <c r="P130" s="15">
        <f>IF(SUM(D130:O130)=0,"0",AVERAGEIF(D130:O130,"&lt;&gt;0",D130:O130))</f>
      </c>
      <c r="Q130" s="14"/>
    </row>
    <row customHeight="true" ht="19" r="131">
      <c r="A131" s="15">
        <v>124</v>
      </c>
      <c r="B131" s="15" t="str">
        <v>蒙西</v>
      </c>
      <c r="C131" s="16" t="str">
        <v>（2）历史偏差电费折价</v>
      </c>
      <c r="D131" s="15">
        <v>0.0089</v>
      </c>
      <c r="E131" s="15">
        <v>0.0365</v>
      </c>
      <c r="F131" s="15">
        <v>-0.0122</v>
      </c>
      <c r="G131" s="15">
        <v>0.0212</v>
      </c>
      <c r="H131" s="15">
        <v>0.0483</v>
      </c>
      <c r="I131" s="15">
        <v>0.0541</v>
      </c>
      <c r="J131" s="15">
        <v>0.0286</v>
      </c>
      <c r="K131" s="15">
        <v>0.0456</v>
      </c>
      <c r="L131" s="15">
        <v>0.0344</v>
      </c>
      <c r="M131" s="15">
        <v>0.0381</v>
      </c>
      <c r="N131" s="15">
        <v>0.0251</v>
      </c>
      <c r="O131" s="15">
        <v>0.009</v>
      </c>
      <c r="P131" s="15">
        <f>IF(SUM(D131:O131)=0,"0",AVERAGEIF(D131:O131,"&lt;&gt;0",D131:O131))</f>
      </c>
      <c r="Q131" s="14"/>
    </row>
    <row customHeight="true" ht="19" r="132">
      <c r="A132" s="15">
        <v>125</v>
      </c>
      <c r="B132" s="15" t="str">
        <v>蒙西</v>
      </c>
      <c r="C132" s="16" t="str">
        <v>上网环节线损费用折价</v>
      </c>
      <c r="D132" s="15">
        <v>0.0094</v>
      </c>
      <c r="E132" s="15">
        <v>0.0095</v>
      </c>
      <c r="F132" s="15">
        <v>0.0093</v>
      </c>
      <c r="G132" s="15">
        <v>0.0095</v>
      </c>
      <c r="H132" s="15">
        <v>0.0091</v>
      </c>
      <c r="I132" s="15">
        <v>0.009</v>
      </c>
      <c r="J132" s="15">
        <v>0.0091</v>
      </c>
      <c r="K132" s="15">
        <v>0.0091</v>
      </c>
      <c r="L132" s="15">
        <v>0.0091</v>
      </c>
      <c r="M132" s="15">
        <v>0.0092</v>
      </c>
      <c r="N132" s="15">
        <v>0.0092</v>
      </c>
      <c r="O132" s="15">
        <v>0.0091</v>
      </c>
      <c r="P132" s="15">
        <f>IF(SUM(D132:O132)=0,"0",AVERAGEIF(D132:O132,"&lt;&gt;0",D132:O132))</f>
      </c>
      <c r="Q132" s="14"/>
    </row>
    <row customHeight="true" ht="19" r="133">
      <c r="A133" s="15">
        <v>126</v>
      </c>
      <c r="B133" s="15" t="str">
        <v>蒙西</v>
      </c>
      <c r="C133" s="16" t="str">
        <v>系统运行费用折合度电水平</v>
      </c>
      <c r="D133" s="15">
        <f>SUM(D134:D149)</f>
      </c>
      <c r="E133" s="15">
        <f>SUM(E134:E149)</f>
      </c>
      <c r="F133" s="15">
        <f>SUM(F134:F149)</f>
      </c>
      <c r="G133" s="15">
        <f>SUM(G134:G149)</f>
      </c>
      <c r="H133" s="15">
        <f>SUM(H134:H149)</f>
      </c>
      <c r="I133" s="15">
        <f>SUM(I134:I149)</f>
      </c>
      <c r="J133" s="15">
        <f>SUM(J134:J149)</f>
      </c>
      <c r="K133" s="15">
        <f>SUM(K134:K149)</f>
      </c>
      <c r="L133" s="15">
        <f>SUM(L134:L149)</f>
      </c>
      <c r="M133" s="15">
        <f>SUM(M134:M149)</f>
      </c>
      <c r="N133" s="15">
        <f>SUM(N134:N149)</f>
      </c>
      <c r="O133" s="15">
        <f>SUM(O134:O149)</f>
      </c>
      <c r="P133" s="15">
        <f>IF(SUM(D133:O133)=0,"0",AVERAGEIF(D133:O133,"&lt;&gt;0",D133:O133))</f>
      </c>
      <c r="Q133" s="14"/>
    </row>
    <row customHeight="true" ht="19" r="134">
      <c r="A134" s="15">
        <v>127</v>
      </c>
      <c r="B134" s="15" t="str">
        <v>蒙西</v>
      </c>
      <c r="C134" s="16" t="str">
        <v>（1）辅助服务费用折合度电水平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0.0006</v>
      </c>
      <c r="M134" s="15">
        <v>0.0008</v>
      </c>
      <c r="N134" s="15">
        <v>0.0009</v>
      </c>
      <c r="O134" s="15">
        <v>0.0005</v>
      </c>
      <c r="P134" s="15">
        <f>IF(SUM(D134:O134)=0,"0",AVERAGEIF(D134:O134,"&lt;&gt;0",D134:O134))</f>
      </c>
      <c r="Q134" s="14"/>
    </row>
    <row customHeight="true" ht="19" r="135">
      <c r="A135" s="15">
        <v>128</v>
      </c>
      <c r="B135" s="15" t="str">
        <v>蒙西</v>
      </c>
      <c r="C135" s="16" t="str">
        <v>（2）抽水蓄能容量电费折合度电水平</v>
      </c>
      <c r="D135" s="15">
        <v>0.0029</v>
      </c>
      <c r="E135" s="15">
        <v>0.0029</v>
      </c>
      <c r="F135" s="15">
        <v>0.0029</v>
      </c>
      <c r="G135" s="15">
        <v>0.0024</v>
      </c>
      <c r="H135" s="15">
        <v>0.002</v>
      </c>
      <c r="I135" s="15">
        <v>0.0026</v>
      </c>
      <c r="J135" s="15">
        <v>0.003</v>
      </c>
      <c r="K135" s="15">
        <v>0.002</v>
      </c>
      <c r="L135" s="15">
        <v>0.0017</v>
      </c>
      <c r="M135" s="15">
        <v>0.002</v>
      </c>
      <c r="N135" s="15">
        <v>0.0005</v>
      </c>
      <c r="O135" s="15">
        <v>0.0008</v>
      </c>
      <c r="P135" s="15">
        <f>IF(SUM(D135:O135)=0,"0",AVERAGEIF(D135:O135,"&lt;&gt;0",D135:O135))</f>
      </c>
      <c r="Q135" s="14"/>
    </row>
    <row customHeight="true" ht="19" r="136">
      <c r="A136" s="15">
        <v>129</v>
      </c>
      <c r="B136" s="15" t="str">
        <v>蒙西</v>
      </c>
      <c r="C136" s="16" t="str">
        <v>（3）上网环节线损代理采购损益折合度电水平</v>
      </c>
      <c r="D136" s="15">
        <v>-0.0002</v>
      </c>
      <c r="E136" s="15">
        <v>0.0053</v>
      </c>
      <c r="F136" s="15">
        <v>0.0004</v>
      </c>
      <c r="G136" s="15">
        <v>-0.0008</v>
      </c>
      <c r="H136" s="15">
        <v>-0.0001</v>
      </c>
      <c r="I136" s="15">
        <v>0.0016</v>
      </c>
      <c r="J136" s="15">
        <v>0.0001</v>
      </c>
      <c r="K136" s="15">
        <v>-0.0022</v>
      </c>
      <c r="L136" s="15">
        <v>0.001</v>
      </c>
      <c r="M136" s="15">
        <v>0.0006</v>
      </c>
      <c r="N136" s="15">
        <v>-0.0014</v>
      </c>
      <c r="O136" s="15">
        <v>-0.0004</v>
      </c>
      <c r="P136" s="15">
        <f>IF(SUM(D136:O136)=0,"0",AVERAGEIF(D136:O136,"&lt;&gt;0",D136:O136))</f>
      </c>
      <c r="Q136" s="14"/>
    </row>
    <row customHeight="true" ht="19" r="137">
      <c r="A137" s="15">
        <v>130</v>
      </c>
      <c r="B137" s="15" t="str">
        <v>蒙西</v>
      </c>
      <c r="C137" s="16" t="str">
        <v>（4）电价交叉补贴新增损益折合度电水平</v>
      </c>
      <c r="D137" s="15">
        <v>-0.006</v>
      </c>
      <c r="E137" s="15">
        <v>-0.0006</v>
      </c>
      <c r="F137" s="15">
        <v>0.0017</v>
      </c>
      <c r="G137" s="15">
        <v>0.0009</v>
      </c>
      <c r="H137" s="15">
        <v>0.0036</v>
      </c>
      <c r="I137" s="15">
        <v>-0.0032</v>
      </c>
      <c r="J137" s="15">
        <v>-0.0046</v>
      </c>
      <c r="K137" s="15">
        <v>-0.001</v>
      </c>
      <c r="L137" s="15">
        <v>0.0002</v>
      </c>
      <c r="M137" s="15">
        <v>0.0009</v>
      </c>
      <c r="N137" s="15">
        <v>-0.001</v>
      </c>
      <c r="O137" s="15">
        <v>-0.0043</v>
      </c>
      <c r="P137" s="15">
        <f>IF(SUM(D137:O137)=0,"0",AVERAGEIF(D137:O137,"&lt;&gt;0",D137:O137))</f>
      </c>
      <c r="Q137" s="14"/>
    </row>
    <row customHeight="true" ht="19" r="138">
      <c r="A138" s="15">
        <v>131</v>
      </c>
      <c r="B138" s="15" t="str">
        <v>蒙西</v>
      </c>
      <c r="C138" s="16" t="str">
        <v>（5）煤电容量电费折合度电水平</v>
      </c>
      <c r="D138" s="15">
        <v>0.0093</v>
      </c>
      <c r="E138" s="15">
        <v>0.0111</v>
      </c>
      <c r="F138" s="15">
        <v>0.0095</v>
      </c>
      <c r="G138" s="15">
        <v>0.0156</v>
      </c>
      <c r="H138" s="15">
        <v>0.0165</v>
      </c>
      <c r="I138" s="15">
        <v>0.0199</v>
      </c>
      <c r="J138" s="15">
        <v>0.0134</v>
      </c>
      <c r="K138" s="15">
        <v>0.009</v>
      </c>
      <c r="L138" s="15">
        <v>0.0132</v>
      </c>
      <c r="M138" s="15">
        <v>0.0125</v>
      </c>
      <c r="N138" s="15">
        <v>0.0127</v>
      </c>
      <c r="O138" s="15">
        <v>0.0106</v>
      </c>
      <c r="P138" s="15">
        <f>IF(SUM(D138:O138)=0,"0",AVERAGEIF(D138:O138,"&lt;&gt;0",D138:O138))</f>
      </c>
      <c r="Q138" s="14"/>
    </row>
    <row customHeight="true" ht="19" r="139">
      <c r="A139" s="15">
        <v>132</v>
      </c>
      <c r="B139" s="15" t="str">
        <v>蒙西</v>
      </c>
      <c r="C139" s="16" t="str">
        <v>（6）天然气发电容量电费折合度电水平</v>
      </c>
      <c r="D139" s="15">
        <v>0.0002</v>
      </c>
      <c r="E139" s="15">
        <v>0.0003</v>
      </c>
      <c r="F139" s="15">
        <v>0.0002</v>
      </c>
      <c r="G139" s="15">
        <v>-0.0004</v>
      </c>
      <c r="H139" s="15">
        <v>0.0001</v>
      </c>
      <c r="I139" s="15">
        <v>0</v>
      </c>
      <c r="J139" s="15">
        <v>0</v>
      </c>
      <c r="K139" s="15">
        <v>0.0001</v>
      </c>
      <c r="L139" s="15">
        <v>0.0002</v>
      </c>
      <c r="M139" s="15">
        <v>0.0002</v>
      </c>
      <c r="N139" s="15">
        <v>0.0001</v>
      </c>
      <c r="O139" s="15">
        <v>0</v>
      </c>
      <c r="P139" s="15">
        <f>IF(SUM(D139:O139)=0,"0",AVERAGEIF(D139:O139,"&lt;&gt;0",D139:O139))</f>
      </c>
      <c r="Q139" s="14"/>
    </row>
    <row customHeight="true" ht="19" r="140">
      <c r="A140" s="15">
        <v>133</v>
      </c>
      <c r="B140" s="15" t="str">
        <v>蒙西</v>
      </c>
      <c r="C140" s="16" t="str">
        <v>（7）水电合约价差损益折合度电水平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f>IF(SUM(D140:O140)=0,"0",AVERAGEIF(D140:O140,"&lt;&gt;0",D140:O140))</f>
      </c>
      <c r="Q140" s="14"/>
    </row>
    <row customHeight="true" ht="19" r="141">
      <c r="A141" s="15">
        <v>134</v>
      </c>
      <c r="B141" s="15" t="str">
        <v>蒙西</v>
      </c>
      <c r="C141" s="16" t="str">
        <v>（8）独立储能容量电费折合度电水平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f>IF(SUM(D141:O141)=0,"0",AVERAGEIF(D141:O141,"&lt;&gt;0",D141:O141))</f>
      </c>
      <c r="Q141" s="14"/>
    </row>
    <row customHeight="true" ht="19" r="142">
      <c r="A142" s="15">
        <v>135</v>
      </c>
      <c r="B142" s="15" t="str">
        <v>蒙西</v>
      </c>
      <c r="C142" s="16" t="str">
        <v>（9）工商业峰谷分时损益折合度电水平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f>IF(SUM(D142:O142)=0,"0",AVERAGEIF(D142:O142,"&lt;&gt;0",D142:O142))</f>
      </c>
      <c r="Q142" s="14"/>
    </row>
    <row customHeight="true" ht="19" r="143">
      <c r="A143" s="15">
        <v>136</v>
      </c>
      <c r="B143" s="15" t="str">
        <v>蒙西</v>
      </c>
      <c r="C143" s="16" t="str">
        <v>（10）功率因数调整电费损益折合度电水平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f>IF(SUM(D143:O143)=0,"0",AVERAGEIF(D143:O143,"&lt;&gt;0",D143:O143))</f>
      </c>
      <c r="Q143" s="14"/>
    </row>
    <row customHeight="true" ht="19" r="144">
      <c r="A144" s="15">
        <v>137</v>
      </c>
      <c r="B144" s="15" t="str">
        <v>蒙西</v>
      </c>
      <c r="C144" s="16" t="str">
        <v>（11）新能源可持续发展价格结算机制差价结算费用折合度电水平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0.0045</v>
      </c>
      <c r="M144" s="15">
        <v>0.0052</v>
      </c>
      <c r="N144" s="15">
        <v>0.008</v>
      </c>
      <c r="O144" s="15">
        <v>-0.0018</v>
      </c>
      <c r="P144" s="15">
        <f>IF(SUM(D144:O144)=0,"0",AVERAGEIF(D144:O144,"&lt;&gt;0",D144:O144))</f>
      </c>
      <c r="Q144" s="14"/>
    </row>
    <row customHeight="true" ht="19" r="145">
      <c r="A145" s="15">
        <v>138</v>
      </c>
      <c r="B145" s="15" t="str">
        <v>蒙西</v>
      </c>
      <c r="C145" s="16" t="str">
        <v>（12）趸售电价损益折合度电水平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f>IF(SUM(D145:O145)=0,"0",AVERAGEIF(D145:O145,"&lt;&gt;0",D145:O145))</f>
      </c>
      <c r="Q145" s="14"/>
    </row>
    <row customHeight="true" ht="19" r="146">
      <c r="A146" s="15">
        <v>138</v>
      </c>
      <c r="B146" s="15" t="str">
        <v>蒙西</v>
      </c>
      <c r="C146" s="39" t="str">
        <v>（13）代理购电价格新增损益折合度电水平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f>IF(SUM(D146:O146)=0,"0",AVERAGEIF(D146:O146,"&lt;&gt;0",D146:O146))</f>
      </c>
      <c r="Q146" s="14"/>
    </row>
    <row customHeight="true" ht="19" r="147">
      <c r="A147" s="15">
        <v>139</v>
      </c>
      <c r="B147" s="15" t="str">
        <v>蒙西</v>
      </c>
      <c r="C147" s="39" t="str">
        <v>（14）跨省跨区应急调度价差损益折合度电水平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f>IF(SUM(D147:O147)=0,"0",AVERAGEIF(D147:O147,"&lt;&gt;0",D147:O147))</f>
      </c>
      <c r="Q147" s="14"/>
    </row>
    <row customHeight="true" ht="19" r="148">
      <c r="A148" s="15">
        <v>140</v>
      </c>
      <c r="B148" s="15" t="str">
        <v>蒙西</v>
      </c>
      <c r="C148" s="39" t="str">
        <v>（15）剩余优先发电价差损益度电水平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f>IF(SUM(D148:O148)=0,"0",AVERAGEIF(D148:O148,"&lt;&gt;0",D148:O148))</f>
      </c>
      <c r="Q148" s="14"/>
    </row>
    <row customHeight="true" ht="19" r="149">
      <c r="A149" s="15">
        <v>141</v>
      </c>
      <c r="B149" s="15" t="str">
        <v>蒙西</v>
      </c>
      <c r="C149" s="39" t="str">
        <v>（16）其他费用折合度电水平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f>IF(SUM(D149:O149)=0,"0",AVERAGEIF(D149:O149,"&lt;&gt;0",D149:O149))</f>
      </c>
      <c r="Q149" s="14"/>
    </row>
    <row customHeight="true" ht="19" r="150">
      <c r="A150" s="15">
        <v>142</v>
      </c>
      <c r="B150" s="30" t="str">
        <v>上海</v>
      </c>
      <c r="C150" s="27" t="str">
        <v>代理工商业购电价格</v>
      </c>
      <c r="D150" s="30">
        <f>D151+D152</f>
      </c>
      <c r="E150" s="30">
        <f>E151+E152</f>
      </c>
      <c r="F150" s="30">
        <f>F151+F152</f>
      </c>
      <c r="G150" s="30">
        <f>G151+G152</f>
      </c>
      <c r="H150" s="30">
        <f>H151+H152</f>
      </c>
      <c r="I150" s="30">
        <f>I151+I152</f>
      </c>
      <c r="J150" s="30">
        <f>J151+J152</f>
      </c>
      <c r="K150" s="30">
        <f>K151+K152</f>
      </c>
      <c r="L150" s="30">
        <f>L151+L152</f>
      </c>
      <c r="M150" s="30">
        <f>M151+M152</f>
      </c>
      <c r="N150" s="30">
        <f>N151+N152</f>
      </c>
      <c r="O150" s="30">
        <f>O151+O152</f>
      </c>
      <c r="P150" s="30">
        <f>IF(SUM(D150:O150)=0,"0",AVERAGEIF(D150:O150,"&lt;&gt;0",D150:O150))</f>
      </c>
      <c r="Q150" s="29"/>
    </row>
    <row customHeight="true" ht="19" r="151">
      <c r="A151" s="15">
        <v>143</v>
      </c>
      <c r="B151" s="30" t="str">
        <v>上海</v>
      </c>
      <c r="C151" s="27" t="str">
        <v>（1）当月平均购电价格</v>
      </c>
      <c r="D151" s="30">
        <v>0.473</v>
      </c>
      <c r="E151" s="30">
        <v>0.4629</v>
      </c>
      <c r="F151" s="30">
        <v>0.463</v>
      </c>
      <c r="G151" s="30">
        <v>0.4628</v>
      </c>
      <c r="H151" s="30">
        <v>0.4623</v>
      </c>
      <c r="I151" s="30">
        <v>0.4624</v>
      </c>
      <c r="J151" s="30">
        <v>0.4613</v>
      </c>
      <c r="K151" s="30">
        <v>0.4617</v>
      </c>
      <c r="L151" s="30">
        <v>0.4581</v>
      </c>
      <c r="M151" s="30">
        <v>0.4582</v>
      </c>
      <c r="N151" s="30">
        <v>0.486</v>
      </c>
      <c r="O151" s="30">
        <v>0.5107</v>
      </c>
      <c r="P151" s="30">
        <f>IF(SUM(D151:O151)=0,"0",AVERAGEIF(D151:O151,"&lt;&gt;0",D151:O151))</f>
      </c>
      <c r="Q151" s="29"/>
    </row>
    <row customHeight="true" ht="19" r="152">
      <c r="A152" s="15">
        <v>144</v>
      </c>
      <c r="B152" s="30" t="str">
        <v>上海</v>
      </c>
      <c r="C152" s="27" t="str">
        <v>（2）历史偏差电费折价</v>
      </c>
      <c r="D152" s="30">
        <v>-0.0315</v>
      </c>
      <c r="E152" s="30">
        <v>-0.0162</v>
      </c>
      <c r="F152" s="30">
        <v>-0.0203</v>
      </c>
      <c r="G152" s="30">
        <v>-0.0221</v>
      </c>
      <c r="H152" s="30">
        <v>-0.0138</v>
      </c>
      <c r="I152" s="30">
        <v>-0.0036</v>
      </c>
      <c r="J152" s="30">
        <v>0.0148</v>
      </c>
      <c r="K152" s="30">
        <v>0.0237</v>
      </c>
      <c r="L152" s="30">
        <v>-0.0021</v>
      </c>
      <c r="M152" s="30">
        <v>-0.0067</v>
      </c>
      <c r="N152" s="30">
        <v>-0.036</v>
      </c>
      <c r="O152" s="30">
        <v>-0.0709</v>
      </c>
      <c r="P152" s="30">
        <f>IF(SUM(D152:O152)=0,"0",AVERAGEIF(D152:O152,"&lt;&gt;0",D152:O152))</f>
      </c>
      <c r="Q152" s="29"/>
    </row>
    <row customHeight="true" ht="19" r="153">
      <c r="A153" s="15">
        <v>145</v>
      </c>
      <c r="B153" s="30" t="str">
        <v>上海</v>
      </c>
      <c r="C153" s="27" t="str">
        <v>上网环节线损费用折价</v>
      </c>
      <c r="D153" s="30">
        <v>0.0146</v>
      </c>
      <c r="E153" s="30">
        <v>0.0127</v>
      </c>
      <c r="F153" s="30">
        <v>0.0127</v>
      </c>
      <c r="G153" s="30">
        <v>0.0127</v>
      </c>
      <c r="H153" s="30">
        <v>0.0127</v>
      </c>
      <c r="I153" s="30">
        <v>0.0127</v>
      </c>
      <c r="J153" s="30">
        <v>0.0127</v>
      </c>
      <c r="K153" s="30">
        <v>0.0127</v>
      </c>
      <c r="L153" s="30">
        <v>0.0126</v>
      </c>
      <c r="M153" s="30">
        <v>0.0126</v>
      </c>
      <c r="N153" s="30">
        <v>0.0133</v>
      </c>
      <c r="O153" s="30">
        <v>0.014</v>
      </c>
      <c r="P153" s="30">
        <f>IF(SUM(D153:O153)=0,"0",AVERAGEIF(D153:O153,"&lt;&gt;0",D153:O153))</f>
      </c>
      <c r="Q153" s="29"/>
    </row>
    <row customHeight="true" ht="19" r="154">
      <c r="A154" s="15">
        <v>146</v>
      </c>
      <c r="B154" s="30" t="str">
        <v>上海</v>
      </c>
      <c r="C154" s="27" t="str">
        <v>系统运行费用折合度电水平</v>
      </c>
      <c r="D154" s="30">
        <f>SUM(D155:D170)</f>
      </c>
      <c r="E154" s="30">
        <f>SUM(E155:E170)</f>
      </c>
      <c r="F154" s="30">
        <f>SUM(F155:F170)</f>
      </c>
      <c r="G154" s="30">
        <f>SUM(G155:G170)</f>
      </c>
      <c r="H154" s="30">
        <f>SUM(H155:H170)</f>
      </c>
      <c r="I154" s="30">
        <f>SUM(I155:I170)</f>
      </c>
      <c r="J154" s="30">
        <f>SUM(J155:J170)</f>
      </c>
      <c r="K154" s="30">
        <f>SUM(K155:K170)</f>
      </c>
      <c r="L154" s="30">
        <f>SUM(L155:L170)</f>
      </c>
      <c r="M154" s="30">
        <f>SUM(M155:M170)</f>
      </c>
      <c r="N154" s="30">
        <f>SUM(N155:N170)</f>
      </c>
      <c r="O154" s="30">
        <f>SUM(O155:O170)</f>
      </c>
      <c r="P154" s="30">
        <f>IF(SUM(D154:O154)=0,"0",AVERAGEIF(D154:O154,"&lt;&gt;0",D154:O154))</f>
      </c>
      <c r="Q154" s="29"/>
    </row>
    <row customHeight="true" ht="19" r="155">
      <c r="A155" s="15">
        <v>147</v>
      </c>
      <c r="B155" s="30" t="str">
        <v>上海</v>
      </c>
      <c r="C155" s="27" t="str">
        <v>（1）辅助服务费用折合度电水平</v>
      </c>
      <c r="D155" s="30">
        <v>0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f>IF(SUM(D155:O155)=0,"0",AVERAGEIF(D155:O155,"&lt;&gt;0",D155:O155))</f>
      </c>
      <c r="Q155" s="29"/>
    </row>
    <row customHeight="true" ht="19" r="156">
      <c r="A156" s="15">
        <v>148</v>
      </c>
      <c r="B156" s="30" t="str">
        <v>上海</v>
      </c>
      <c r="C156" s="27" t="str">
        <v>（2）抽水蓄能容量电费折合度电水平</v>
      </c>
      <c r="D156" s="30">
        <v>0.00987</v>
      </c>
      <c r="E156" s="30">
        <v>0.00987</v>
      </c>
      <c r="F156" s="30">
        <v>0.00987</v>
      </c>
      <c r="G156" s="30">
        <v>0.00987</v>
      </c>
      <c r="H156" s="30">
        <v>0.00987</v>
      </c>
      <c r="I156" s="30">
        <v>0.00987</v>
      </c>
      <c r="J156" s="30">
        <v>0.00987</v>
      </c>
      <c r="K156" s="30">
        <v>0.00987</v>
      </c>
      <c r="L156" s="30">
        <v>0.00987</v>
      </c>
      <c r="M156" s="30">
        <v>0.00987</v>
      </c>
      <c r="N156" s="30">
        <v>0.00987</v>
      </c>
      <c r="O156" s="30">
        <v>0.00987</v>
      </c>
      <c r="P156" s="30">
        <f>IF(SUM(D156:O156)=0,"0",AVERAGEIF(D156:O156,"&lt;&gt;0",D156:O156))</f>
      </c>
      <c r="Q156" s="29"/>
    </row>
    <row customHeight="true" ht="19" r="157">
      <c r="A157" s="15">
        <v>149</v>
      </c>
      <c r="B157" s="30" t="str">
        <v>上海</v>
      </c>
      <c r="C157" s="27" t="str">
        <v>（3）上网环节线损代理采购损益折合度电水平</v>
      </c>
      <c r="D157" s="30">
        <v>0.0004</v>
      </c>
      <c r="E157" s="30">
        <v>-0.001</v>
      </c>
      <c r="F157" s="30">
        <v>0</v>
      </c>
      <c r="G157" s="30">
        <v>-0.0048</v>
      </c>
      <c r="H157" s="30">
        <v>-0.0023</v>
      </c>
      <c r="I157" s="30">
        <v>-0.0064</v>
      </c>
      <c r="J157" s="30">
        <v>0.0008</v>
      </c>
      <c r="K157" s="30">
        <v>-0.0021</v>
      </c>
      <c r="L157" s="30">
        <v>-0.002</v>
      </c>
      <c r="M157" s="30">
        <v>-0.0005</v>
      </c>
      <c r="N157" s="30">
        <v>0.0036</v>
      </c>
      <c r="O157" s="30">
        <v>0.0009</v>
      </c>
      <c r="P157" s="30">
        <f>IF(SUM(D157:O157)=0,"0",AVERAGEIF(D157:O157,"&lt;&gt;0",D157:O157))</f>
      </c>
      <c r="Q157" s="29"/>
    </row>
    <row customHeight="true" ht="19" r="158">
      <c r="A158" s="15">
        <v>150</v>
      </c>
      <c r="B158" s="30" t="str">
        <v>上海</v>
      </c>
      <c r="C158" s="27" t="str">
        <v>（4）电价交叉补贴新增损益折合度电水平</v>
      </c>
      <c r="D158" s="30">
        <v>-0.0146</v>
      </c>
      <c r="E158" s="30">
        <v>-0.029</v>
      </c>
      <c r="F158" s="30">
        <v>-0.0199</v>
      </c>
      <c r="G158" s="30">
        <v>-0.0137</v>
      </c>
      <c r="H158" s="30">
        <v>-0.0173</v>
      </c>
      <c r="I158" s="30">
        <v>-0.0147</v>
      </c>
      <c r="J158" s="30">
        <v>-0.0138</v>
      </c>
      <c r="K158" s="30">
        <v>-0.0186</v>
      </c>
      <c r="L158" s="30">
        <v>-0.0342</v>
      </c>
      <c r="M158" s="30">
        <v>-0.0329</v>
      </c>
      <c r="N158" s="30">
        <v>-0.0349</v>
      </c>
      <c r="O158" s="30">
        <v>-0.0208</v>
      </c>
      <c r="P158" s="30">
        <f>IF(SUM(D158:O158)=0,"0",AVERAGEIF(D158:O158,"&lt;&gt;0",D158:O158))</f>
      </c>
      <c r="Q158" s="29"/>
    </row>
    <row customHeight="true" ht="19" r="159">
      <c r="A159" s="15">
        <v>151</v>
      </c>
      <c r="B159" s="30" t="str">
        <v>上海</v>
      </c>
      <c r="C159" s="27" t="str">
        <v>（5）煤电容量电费折合度电水平</v>
      </c>
      <c r="D159" s="30">
        <v>0.0142</v>
      </c>
      <c r="E159" s="30">
        <v>0.0162</v>
      </c>
      <c r="F159" s="30">
        <v>0.0145</v>
      </c>
      <c r="G159" s="30">
        <v>0.0162</v>
      </c>
      <c r="H159" s="30">
        <v>0.0147</v>
      </c>
      <c r="I159" s="30">
        <v>0.0133</v>
      </c>
      <c r="J159" s="30">
        <v>0.0102</v>
      </c>
      <c r="K159" s="30">
        <v>0.0099</v>
      </c>
      <c r="L159" s="30">
        <v>0.0123</v>
      </c>
      <c r="M159" s="30">
        <v>0.0142</v>
      </c>
      <c r="N159" s="30">
        <v>0.0128</v>
      </c>
      <c r="O159" s="30">
        <v>0.0116</v>
      </c>
      <c r="P159" s="30">
        <f>IF(SUM(D159:O159)=0,"0",AVERAGEIF(D159:O159,"&lt;&gt;0",D159:O159))</f>
      </c>
      <c r="Q159" s="29"/>
    </row>
    <row customHeight="true" ht="19" r="160">
      <c r="A160" s="15">
        <v>152</v>
      </c>
      <c r="B160" s="30" t="str">
        <v>上海</v>
      </c>
      <c r="C160" s="27" t="str">
        <v>（6）天然气发电容量电费折合度电水平</v>
      </c>
      <c r="D160" s="30">
        <v>0.0289</v>
      </c>
      <c r="E160" s="30">
        <v>0.0289</v>
      </c>
      <c r="F160" s="30">
        <v>0.0289</v>
      </c>
      <c r="G160" s="30">
        <v>0.0289</v>
      </c>
      <c r="H160" s="30">
        <v>0.0289</v>
      </c>
      <c r="I160" s="30">
        <v>0.0289</v>
      </c>
      <c r="J160" s="30">
        <v>0.0289</v>
      </c>
      <c r="K160" s="30">
        <v>0.0289</v>
      </c>
      <c r="L160" s="30">
        <v>0.0289</v>
      </c>
      <c r="M160" s="30">
        <v>0.0289</v>
      </c>
      <c r="N160" s="30">
        <v>0.0289</v>
      </c>
      <c r="O160" s="30">
        <v>0.0289</v>
      </c>
      <c r="P160" s="30">
        <f>IF(SUM(D160:O160)=0,"0",AVERAGEIF(D160:O160,"&lt;&gt;0",D160:O160))</f>
      </c>
      <c r="Q160" s="29"/>
    </row>
    <row customHeight="true" ht="19" r="161">
      <c r="A161" s="15">
        <v>153</v>
      </c>
      <c r="B161" s="30" t="str">
        <v>上海</v>
      </c>
      <c r="C161" s="27" t="str">
        <v>（7）水电合约价差损益折合度电水平</v>
      </c>
      <c r="D161" s="30">
        <v>0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f>IF(SUM(D161:O161)=0,"0",AVERAGEIF(D161:O161,"&lt;&gt;0",D161:O161))</f>
      </c>
      <c r="Q161" s="29"/>
    </row>
    <row customHeight="true" ht="19" r="162">
      <c r="A162" s="15">
        <v>154</v>
      </c>
      <c r="B162" s="30" t="str">
        <v>上海</v>
      </c>
      <c r="C162" s="27" t="str">
        <v>（8）独立储能容量电费折合度电水平</v>
      </c>
      <c r="D162" s="30">
        <v>0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f>IF(SUM(D162:O162)=0,"0",AVERAGEIF(D162:O162,"&lt;&gt;0",D162:O162))</f>
      </c>
      <c r="Q162" s="29"/>
    </row>
    <row customHeight="true" ht="19" r="163">
      <c r="A163" s="15">
        <v>155</v>
      </c>
      <c r="B163" s="30" t="str">
        <v>上海</v>
      </c>
      <c r="C163" s="27" t="str">
        <v>（9）工商业峰谷分时损益折合度电水平</v>
      </c>
      <c r="D163" s="30">
        <v>0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f>IF(SUM(D163:O163)=0,"0",AVERAGEIF(D163:O163,"&lt;&gt;0",D163:O163))</f>
      </c>
      <c r="Q163" s="29"/>
    </row>
    <row customHeight="true" ht="19" r="164">
      <c r="A164" s="15">
        <v>156</v>
      </c>
      <c r="B164" s="30" t="str">
        <v>上海</v>
      </c>
      <c r="C164" s="27" t="str">
        <v>（10）功率因数调整电费损益折合度电水平</v>
      </c>
      <c r="D164" s="30">
        <v>0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f>IF(SUM(D164:O164)=0,"0",AVERAGEIF(D164:O164,"&lt;&gt;0",D164:O164))</f>
      </c>
      <c r="Q164" s="29"/>
    </row>
    <row customHeight="true" ht="19" r="165">
      <c r="A165" s="15">
        <v>157</v>
      </c>
      <c r="B165" s="30" t="str">
        <v>上海</v>
      </c>
      <c r="C165" s="27" t="str">
        <v>（11）新能源可持续发展价格结算机制差价结算费用折合度电水平</v>
      </c>
      <c r="D165" s="30">
        <v>0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f>IF(SUM(D165:O165)=0,"0",AVERAGEIF(D165:O165,"&lt;&gt;0",D165:O165))</f>
      </c>
      <c r="Q165" s="29"/>
    </row>
    <row customHeight="true" ht="19" r="166">
      <c r="A166" s="15">
        <v>158</v>
      </c>
      <c r="B166" s="30" t="str">
        <v>上海</v>
      </c>
      <c r="C166" s="27" t="str">
        <v>（12）趸售电价损益折合度电水平</v>
      </c>
      <c r="D166" s="30">
        <v>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f>IF(SUM(D166:O166)=0,"0",AVERAGEIF(D166:O166,"&lt;&gt;0",D166:O166))</f>
      </c>
      <c r="Q166" s="29"/>
    </row>
    <row customHeight="true" ht="19" r="167">
      <c r="A167" s="15">
        <v>159</v>
      </c>
      <c r="B167" s="30" t="str">
        <v>上海</v>
      </c>
      <c r="C167" s="27" t="str">
        <v>（13）代理购电价格新增损益折合度电水平</v>
      </c>
      <c r="D167" s="30">
        <v>0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f>IF(SUM(D167:O167)=0,"0",AVERAGEIF(D167:O167,"&lt;&gt;0",D167:O167))</f>
      </c>
      <c r="Q167" s="29"/>
    </row>
    <row customHeight="true" ht="19" r="168">
      <c r="A168" s="15">
        <v>159</v>
      </c>
      <c r="B168" s="30" t="str">
        <v>上海</v>
      </c>
      <c r="C168" s="27" t="str">
        <v>（14）跨省跨区应急调度价差损益折合度电水平</v>
      </c>
      <c r="D168" s="30">
        <v>0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f>IF(SUM(D168:O168)=0,"0",AVERAGEIF(D168:O168,"&lt;&gt;0",D168:O168))</f>
      </c>
      <c r="Q168" s="29"/>
    </row>
    <row customHeight="true" ht="19" r="169">
      <c r="A169" s="15">
        <v>160</v>
      </c>
      <c r="B169" s="30" t="str">
        <v>上海</v>
      </c>
      <c r="C169" s="27" t="str">
        <v>（15）剩余优先发电价差损益度电水平</v>
      </c>
      <c r="D169" s="30">
        <v>0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f>IF(SUM(D169:O169)=0,"0",AVERAGEIF(D169:O169,"&lt;&gt;0",D169:O169))</f>
      </c>
      <c r="Q169" s="29"/>
    </row>
    <row r="170">
      <c r="A170" s="15">
        <v>161</v>
      </c>
      <c r="B170" s="30" t="str">
        <v>上海</v>
      </c>
      <c r="C170" s="27" t="str">
        <v>（16）其他费用折合度电水平</v>
      </c>
      <c r="D170" s="30">
        <v>0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f>IF(SUM(D170:O170)=0,"0",AVERAGEIF(D170:O170,"&lt;&gt;0",D170:O170))</f>
      </c>
      <c r="Q170" s="29"/>
    </row>
    <row customHeight="true" ht="19" r="171">
      <c r="A171" s="15">
        <v>162</v>
      </c>
      <c r="B171" s="15" t="str">
        <v>江苏</v>
      </c>
      <c r="C171" s="16" t="str">
        <v>代理工商业购电价格</v>
      </c>
      <c r="D171" s="15">
        <f>D172+D173</f>
      </c>
      <c r="E171" s="15">
        <f>E172+E173</f>
      </c>
      <c r="F171" s="15">
        <f>F172+F173</f>
      </c>
      <c r="G171" s="15">
        <f>G172+G173</f>
      </c>
      <c r="H171" s="15">
        <f>H172+H173</f>
      </c>
      <c r="I171" s="15">
        <f>I172+I173</f>
      </c>
      <c r="J171" s="15">
        <f>J172+J173</f>
      </c>
      <c r="K171" s="15">
        <f>K172+K173</f>
      </c>
      <c r="L171" s="15">
        <f>L172+L173</f>
      </c>
      <c r="M171" s="15">
        <f>M172+M173</f>
      </c>
      <c r="N171" s="15">
        <f>N172+N173</f>
      </c>
      <c r="O171" s="15">
        <f>O172+O173</f>
      </c>
      <c r="P171" s="15">
        <f>IF(SUM(D171:O171)=0,"0",AVERAGEIF(D171:O171,"&lt;&gt;0",D171:O171))</f>
      </c>
      <c r="Q171" s="14"/>
    </row>
    <row customHeight="true" ht="19" r="172">
      <c r="A172" s="15">
        <v>163</v>
      </c>
      <c r="B172" s="15" t="str">
        <v>江苏</v>
      </c>
      <c r="C172" s="16" t="str">
        <v>（1）当月平均购电价格</v>
      </c>
      <c r="D172" s="15">
        <v>0.456</v>
      </c>
      <c r="E172" s="15">
        <v>0.4473</v>
      </c>
      <c r="F172" s="15">
        <v>0.4386</v>
      </c>
      <c r="G172" s="15">
        <v>0.4428</v>
      </c>
      <c r="H172" s="15">
        <v>0.4311</v>
      </c>
      <c r="I172" s="15">
        <v>0.4369</v>
      </c>
      <c r="J172" s="15">
        <v>0.439</v>
      </c>
      <c r="K172" s="15">
        <v>0.4296</v>
      </c>
      <c r="L172" s="15">
        <v>0.4298</v>
      </c>
      <c r="M172" s="15">
        <v>0.4333</v>
      </c>
      <c r="N172" s="15">
        <v>0.439</v>
      </c>
      <c r="O172" s="15">
        <v>0.4468</v>
      </c>
      <c r="P172" s="15">
        <f>IF(SUM(D172:O172)=0,"0",AVERAGEIF(D172:O172,"&lt;&gt;0",D172:O172))</f>
      </c>
      <c r="Q172" s="14"/>
    </row>
    <row customHeight="true" ht="19" r="173">
      <c r="A173" s="15">
        <v>164</v>
      </c>
      <c r="B173" s="15" t="str">
        <v>江苏</v>
      </c>
      <c r="C173" s="16" t="str">
        <v>（2）历史偏差电费折价</v>
      </c>
      <c r="D173" s="15">
        <v>0.004</v>
      </c>
      <c r="E173" s="15">
        <v>-0.0084</v>
      </c>
      <c r="F173" s="15">
        <v>-0.0025</v>
      </c>
      <c r="G173" s="15">
        <v>0.0003</v>
      </c>
      <c r="H173" s="15">
        <v>-0.0089</v>
      </c>
      <c r="I173" s="15">
        <v>-0.0094</v>
      </c>
      <c r="J173" s="15">
        <v>-0.0012</v>
      </c>
      <c r="K173" s="15">
        <v>-0.0022</v>
      </c>
      <c r="L173" s="15">
        <v>-0.0058</v>
      </c>
      <c r="M173" s="15">
        <v>0.0003</v>
      </c>
      <c r="N173" s="15">
        <v>0.0003</v>
      </c>
      <c r="O173" s="15">
        <v>0.0057</v>
      </c>
      <c r="P173" s="15">
        <f>IF(SUM(D173:O173)=0,"0",AVERAGEIF(D173:O173,"&lt;&gt;0",D173:O173))</f>
      </c>
      <c r="Q173" s="14"/>
    </row>
    <row customHeight="true" ht="19" r="174">
      <c r="A174" s="15">
        <v>165</v>
      </c>
      <c r="B174" s="15" t="str">
        <v>江苏</v>
      </c>
      <c r="C174" s="16" t="str">
        <v>上网环节线损费用折价</v>
      </c>
      <c r="D174" s="15">
        <v>0.015</v>
      </c>
      <c r="E174" s="15">
        <v>0.0147</v>
      </c>
      <c r="F174" s="15">
        <v>0.0144</v>
      </c>
      <c r="G174" s="15">
        <v>0.0145</v>
      </c>
      <c r="H174" s="15">
        <v>0.0142</v>
      </c>
      <c r="I174" s="15">
        <v>0.0143</v>
      </c>
      <c r="J174" s="15">
        <v>0.0144</v>
      </c>
      <c r="K174" s="15">
        <v>0.0141</v>
      </c>
      <c r="L174" s="15">
        <v>0.0141</v>
      </c>
      <c r="M174" s="15">
        <v>0.0142</v>
      </c>
      <c r="N174" s="15">
        <v>0.0144</v>
      </c>
      <c r="O174" s="15">
        <v>0.0147</v>
      </c>
      <c r="P174" s="15">
        <f>IF(SUM(D174:O174)=0,"0",AVERAGEIF(D174:O174,"&lt;&gt;0",D174:O174))</f>
      </c>
      <c r="Q174" s="14"/>
    </row>
    <row customHeight="true" ht="19" r="175">
      <c r="A175" s="15">
        <v>166</v>
      </c>
      <c r="B175" s="15" t="str">
        <v>江苏</v>
      </c>
      <c r="C175" s="16" t="str">
        <v>系统运行费用折合度电水平</v>
      </c>
      <c r="D175" s="15">
        <f>SUM(D176:D191)</f>
      </c>
      <c r="E175" s="15">
        <f>SUM(E176:E191)</f>
      </c>
      <c r="F175" s="15">
        <f>SUM(F176:F191)</f>
      </c>
      <c r="G175" s="15">
        <f>SUM(G176:G191)</f>
      </c>
      <c r="H175" s="15">
        <f>SUM(H176:H191)</f>
      </c>
      <c r="I175" s="15">
        <f>SUM(I176:I191)</f>
      </c>
      <c r="J175" s="15">
        <f>SUM(J176:J191)</f>
      </c>
      <c r="K175" s="15">
        <f>SUM(K176:K191)</f>
      </c>
      <c r="L175" s="15">
        <f>SUM(L176:L191)</f>
      </c>
      <c r="M175" s="15">
        <f>SUM(M176:M191)</f>
      </c>
      <c r="N175" s="15">
        <f>SUM(N176:N191)</f>
      </c>
      <c r="O175" s="15">
        <f>SUM(O176:O191)</f>
      </c>
      <c r="P175" s="15">
        <f>IF(SUM(D175:O175)=0,"0",AVERAGEIF(D175:O175,"&lt;&gt;0",D175:O175))</f>
      </c>
      <c r="Q175" s="14"/>
    </row>
    <row customHeight="true" ht="19" r="176">
      <c r="A176" s="15">
        <v>167</v>
      </c>
      <c r="B176" s="15" t="str">
        <v>江苏</v>
      </c>
      <c r="C176" s="16" t="str">
        <v>（1）辅助服务费用折合度电水平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f>IF(SUM(D176:O176)=0,"0",AVERAGEIF(D176:O176,"&lt;&gt;0",D176:O176))</f>
      </c>
      <c r="Q176" s="14"/>
    </row>
    <row customHeight="true" ht="19" r="177">
      <c r="A177" s="15">
        <v>168</v>
      </c>
      <c r="B177" s="15" t="str">
        <v>江苏</v>
      </c>
      <c r="C177" s="16" t="str">
        <v>（2）抽水蓄能容量电费折合度电水平</v>
      </c>
      <c r="D177" s="15">
        <v>0.005</v>
      </c>
      <c r="E177" s="15">
        <v>0.0053</v>
      </c>
      <c r="F177" s="15">
        <v>0.0046</v>
      </c>
      <c r="G177" s="15">
        <v>0.0048</v>
      </c>
      <c r="H177" s="15">
        <v>0.0047</v>
      </c>
      <c r="I177" s="15">
        <v>0.0051</v>
      </c>
      <c r="J177" s="15">
        <v>0.0043</v>
      </c>
      <c r="K177" s="15">
        <v>0.0044</v>
      </c>
      <c r="L177" s="15">
        <v>0.0049</v>
      </c>
      <c r="M177" s="15">
        <v>0.0057</v>
      </c>
      <c r="N177" s="15">
        <v>0.0053</v>
      </c>
      <c r="O177" s="15">
        <v>0.0045</v>
      </c>
      <c r="P177" s="15">
        <f>IF(SUM(D177:O177)=0,"0",AVERAGEIF(D177:O177,"&lt;&gt;0",D177:O177))</f>
      </c>
      <c r="Q177" s="14"/>
    </row>
    <row customHeight="true" ht="19" r="178">
      <c r="A178" s="15">
        <v>169</v>
      </c>
      <c r="B178" s="15" t="str">
        <v>江苏</v>
      </c>
      <c r="C178" s="16" t="str">
        <v>（3）上网环节线损代理采购损益折合度电水平</v>
      </c>
      <c r="D178" s="15">
        <v>-0.0014</v>
      </c>
      <c r="E178" s="15">
        <v>-0.0025</v>
      </c>
      <c r="F178" s="15">
        <v>-0.0014</v>
      </c>
      <c r="G178" s="15">
        <v>-0.0015</v>
      </c>
      <c r="H178" s="15">
        <v>-0.0024</v>
      </c>
      <c r="I178" s="15">
        <v>-0.0012</v>
      </c>
      <c r="J178" s="15">
        <v>-0.0013</v>
      </c>
      <c r="K178" s="15">
        <v>-0.002</v>
      </c>
      <c r="L178" s="15">
        <v>-0.0007</v>
      </c>
      <c r="M178" s="15">
        <v>-0.0006</v>
      </c>
      <c r="N178" s="15">
        <v>-0.0016</v>
      </c>
      <c r="O178" s="15">
        <v>-0.0008</v>
      </c>
      <c r="P178" s="15">
        <f>IF(SUM(D178:O178)=0,"0",AVERAGEIF(D178:O178,"&lt;&gt;0",D178:O178))</f>
      </c>
      <c r="Q178" s="14"/>
    </row>
    <row customHeight="true" ht="19" r="179">
      <c r="A179" s="15">
        <v>170</v>
      </c>
      <c r="B179" s="15" t="str">
        <v>江苏</v>
      </c>
      <c r="C179" s="16" t="str">
        <v>（4）电价交叉补贴新增损益折合度电水平</v>
      </c>
      <c r="D179" s="15">
        <v>0.0358</v>
      </c>
      <c r="E179" s="15">
        <v>0.0185</v>
      </c>
      <c r="F179" s="15">
        <v>-0.0067</v>
      </c>
      <c r="G179" s="15">
        <v>-0.0098</v>
      </c>
      <c r="H179" s="15">
        <v>-0.0075</v>
      </c>
      <c r="I179" s="15">
        <v>0.0037</v>
      </c>
      <c r="J179" s="15">
        <v>0.0299</v>
      </c>
      <c r="K179" s="15">
        <v>0.037</v>
      </c>
      <c r="L179" s="15">
        <v>0.0155</v>
      </c>
      <c r="M179" s="15">
        <v>-0.011</v>
      </c>
      <c r="N179" s="15">
        <v>-0.0103</v>
      </c>
      <c r="O179" s="15">
        <v>0.0024</v>
      </c>
      <c r="P179" s="15">
        <f>IF(SUM(D179:O179)=0,"0",AVERAGEIF(D179:O179,"&lt;&gt;0",D179:O179))</f>
      </c>
      <c r="Q179" s="14"/>
    </row>
    <row customHeight="true" ht="19" r="180">
      <c r="A180" s="15">
        <v>171</v>
      </c>
      <c r="B180" s="15" t="str">
        <v>江苏</v>
      </c>
      <c r="C180" s="16" t="str">
        <v>（5）煤电容量电费折合度电水平</v>
      </c>
      <c r="D180" s="15">
        <v>0.0182</v>
      </c>
      <c r="E180" s="15">
        <v>0.0174</v>
      </c>
      <c r="F180" s="15">
        <v>0.0142</v>
      </c>
      <c r="G180" s="15">
        <v>0.016</v>
      </c>
      <c r="H180" s="15">
        <v>0.0154</v>
      </c>
      <c r="I180" s="15">
        <v>0.0155</v>
      </c>
      <c r="J180" s="15">
        <v>0.0129</v>
      </c>
      <c r="K180" s="15">
        <v>0.0123</v>
      </c>
      <c r="L180" s="15">
        <v>0.0141</v>
      </c>
      <c r="M180" s="15">
        <v>0.0159</v>
      </c>
      <c r="N180" s="15">
        <v>0.0148</v>
      </c>
      <c r="O180" s="15">
        <v>0.0136</v>
      </c>
      <c r="P180" s="15">
        <f>IF(SUM(D180:O180)=0,"0",AVERAGEIF(D180:O180,"&lt;&gt;0",D180:O180))</f>
      </c>
      <c r="Q180" s="14"/>
    </row>
    <row customHeight="true" ht="19" r="181">
      <c r="A181" s="15">
        <v>172</v>
      </c>
      <c r="B181" s="15" t="str">
        <v>江苏</v>
      </c>
      <c r="C181" s="16" t="str">
        <v>（6）天然气发电容量电费折合度电水平</v>
      </c>
      <c r="D181" s="15">
        <v>0.023</v>
      </c>
      <c r="E181" s="15">
        <v>0.023</v>
      </c>
      <c r="F181" s="15">
        <v>0.023</v>
      </c>
      <c r="G181" s="15">
        <v>0.023</v>
      </c>
      <c r="H181" s="15">
        <v>0.023</v>
      </c>
      <c r="I181" s="15">
        <v>0.023</v>
      </c>
      <c r="J181" s="15">
        <v>0.023</v>
      </c>
      <c r="K181" s="15">
        <v>0.023</v>
      </c>
      <c r="L181" s="15">
        <v>0.023</v>
      </c>
      <c r="M181" s="15">
        <v>0.023</v>
      </c>
      <c r="N181" s="15">
        <v>0.023</v>
      </c>
      <c r="O181" s="15">
        <v>0.023</v>
      </c>
      <c r="P181" s="15">
        <f>IF(SUM(D181:O181)=0,"0",AVERAGEIF(D181:O181,"&lt;&gt;0",D181:O181))</f>
      </c>
      <c r="Q181" s="14"/>
    </row>
    <row customHeight="true" ht="19" r="182">
      <c r="A182" s="15">
        <v>173</v>
      </c>
      <c r="B182" s="15" t="str">
        <v>江苏</v>
      </c>
      <c r="C182" s="16" t="str">
        <v>（7）水电合约价差损益折合度电水平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f>IF(SUM(D182:O182)=0,"0",AVERAGEIF(D182:O182,"&lt;&gt;0",D182:O182))</f>
      </c>
      <c r="Q182" s="14"/>
    </row>
    <row customHeight="true" ht="19" r="183">
      <c r="A183" s="15">
        <v>174</v>
      </c>
      <c r="B183" s="15" t="str">
        <v>江苏</v>
      </c>
      <c r="C183" s="16" t="str">
        <v>（8）独立储能容量电费折合度电水平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f>IF(SUM(D183:O183)=0,"0",AVERAGEIF(D183:O183,"&lt;&gt;0",D183:O183))</f>
      </c>
      <c r="Q183" s="14"/>
    </row>
    <row customHeight="true" ht="19" r="184">
      <c r="A184" s="15">
        <v>175</v>
      </c>
      <c r="B184" s="15" t="str">
        <v>江苏</v>
      </c>
      <c r="C184" s="16" t="str">
        <v>（9）工商业峰谷分时损益折合度电水平</v>
      </c>
      <c r="D184" s="15">
        <v>-0.0154</v>
      </c>
      <c r="E184" s="15">
        <v>-0.0174</v>
      </c>
      <c r="F184" s="15">
        <v>-0.0051</v>
      </c>
      <c r="G184" s="15">
        <v>-0.0087</v>
      </c>
      <c r="H184" s="15">
        <v>-0.0048</v>
      </c>
      <c r="I184" s="15">
        <v>-0.0054</v>
      </c>
      <c r="J184" s="15">
        <v>-0.0063</v>
      </c>
      <c r="K184" s="15">
        <v>-0.0086</v>
      </c>
      <c r="L184" s="15">
        <v>-0.0021</v>
      </c>
      <c r="M184" s="15">
        <v>-0.0015</v>
      </c>
      <c r="N184" s="15">
        <v>0.0048</v>
      </c>
      <c r="O184" s="15">
        <v>-0.0044</v>
      </c>
      <c r="P184" s="15">
        <f>IF(SUM(D184:O184)=0,"0",AVERAGEIF(D184:O184,"&lt;&gt;0",D184:O184))</f>
      </c>
      <c r="Q184" s="14"/>
    </row>
    <row customHeight="true" ht="19" r="185">
      <c r="A185" s="15">
        <v>176</v>
      </c>
      <c r="B185" s="15" t="str">
        <v>江苏</v>
      </c>
      <c r="C185" s="16" t="str">
        <v>（10）功率因数调整电费损益折合度电水平</v>
      </c>
      <c r="D185" s="15">
        <v>0.004</v>
      </c>
      <c r="E185" s="15">
        <v>0.0033</v>
      </c>
      <c r="F185" s="15">
        <v>0.0034</v>
      </c>
      <c r="G185" s="15">
        <v>0.0032</v>
      </c>
      <c r="H185" s="15">
        <v>0.0023</v>
      </c>
      <c r="I185" s="15">
        <v>0.0023</v>
      </c>
      <c r="J185" s="15">
        <v>0.0028</v>
      </c>
      <c r="K185" s="15">
        <v>0.0032</v>
      </c>
      <c r="L185" s="15">
        <v>0.0031</v>
      </c>
      <c r="M185" s="15">
        <v>0.0029</v>
      </c>
      <c r="N185" s="15">
        <v>0.0032</v>
      </c>
      <c r="O185" s="15">
        <v>0.0039</v>
      </c>
      <c r="P185" s="15">
        <f>IF(SUM(D185:O185)=0,"0",AVERAGEIF(D185:O185,"&lt;&gt;0",D185:O185))</f>
      </c>
      <c r="Q185" s="14"/>
    </row>
    <row customHeight="true" ht="19" r="186">
      <c r="A186" s="15">
        <v>177</v>
      </c>
      <c r="B186" s="15" t="str">
        <v>江苏</v>
      </c>
      <c r="C186" s="16" t="str">
        <v>（11）新能源可持续发展价格结算机制差价结算费用折合度电水平</v>
      </c>
      <c r="D186" s="15">
        <v>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f>IF(SUM(D186:O186)=0,"0",AVERAGEIF(D186:O186,"&lt;&gt;0",D186:O186))</f>
      </c>
      <c r="Q186" s="14"/>
    </row>
    <row customHeight="true" ht="19" r="187">
      <c r="A187" s="15">
        <v>178</v>
      </c>
      <c r="B187" s="15" t="str">
        <v>江苏</v>
      </c>
      <c r="C187" s="16" t="str">
        <v>（12）趸售电价损益折合度电水平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f>IF(SUM(D187:O187)=0,"0",AVERAGEIF(D187:O187,"&lt;&gt;0",D187:O187))</f>
      </c>
      <c r="Q187" s="14"/>
    </row>
    <row customHeight="true" ht="19" r="188">
      <c r="A188" s="15">
        <v>179</v>
      </c>
      <c r="B188" s="15" t="str">
        <v>江苏</v>
      </c>
      <c r="C188" s="39" t="str">
        <v>（13）代理购电价格新增损益折合度电水平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f>IF(SUM(D188:O188)=0,"0",AVERAGEIF(D188:O188,"&lt;&gt;0",D188:O188))</f>
      </c>
      <c r="Q188" s="14"/>
    </row>
    <row customHeight="true" ht="19" r="189">
      <c r="A189" s="15">
        <v>179</v>
      </c>
      <c r="B189" s="15" t="str">
        <v>江苏</v>
      </c>
      <c r="C189" s="39" t="str">
        <v>（14）跨省跨区应急调度价差损益折合度电水平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f>IF(SUM(D189:O189)=0,"0",AVERAGEIF(D189:O189,"&lt;&gt;0",D189:O189))</f>
      </c>
      <c r="Q189" s="14"/>
    </row>
    <row customHeight="true" ht="19" r="190">
      <c r="A190" s="15">
        <v>180</v>
      </c>
      <c r="B190" s="15" t="str">
        <v>江苏</v>
      </c>
      <c r="C190" s="39" t="str">
        <v>（15）剩余优先发电价差损益度电水平（电力保供）</v>
      </c>
      <c r="D190" s="15">
        <v>0.0005</v>
      </c>
      <c r="E190" s="15">
        <v>0.0007</v>
      </c>
      <c r="F190" s="15">
        <v>0.0009</v>
      </c>
      <c r="G190" s="15">
        <v>0</v>
      </c>
      <c r="H190" s="15">
        <v>0</v>
      </c>
      <c r="I190" s="15">
        <v>0</v>
      </c>
      <c r="J190" s="15">
        <v>0.0003</v>
      </c>
      <c r="K190" s="15">
        <v>0.0004</v>
      </c>
      <c r="L190" s="15">
        <v>0.0003</v>
      </c>
      <c r="M190" s="15">
        <v>0</v>
      </c>
      <c r="N190" s="15">
        <v>0</v>
      </c>
      <c r="O190" s="15">
        <v>0.0011</v>
      </c>
      <c r="P190" s="15">
        <f>IF(SUM(D190:O190)=0,"0",AVERAGEIF(D190:O190,"&lt;&gt;0",D190:O190))</f>
      </c>
      <c r="Q190" s="14"/>
    </row>
    <row customHeight="true" ht="19" r="191">
      <c r="A191" s="15">
        <v>181</v>
      </c>
      <c r="B191" s="15" t="str">
        <v>江苏</v>
      </c>
      <c r="C191" s="39" t="str">
        <v>（16）其他费用折合度电水平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f>IF(SUM(D191:O191)=0,"0",AVERAGEIF(D191:O191,"&lt;&gt;0",D191:O191))</f>
      </c>
      <c r="Q191" s="14"/>
    </row>
    <row customHeight="true" ht="19" r="192">
      <c r="A192" s="15">
        <v>182</v>
      </c>
      <c r="B192" s="30" t="str">
        <v>浙江</v>
      </c>
      <c r="C192" s="27" t="str">
        <v>代理工商业购电价格</v>
      </c>
      <c r="D192" s="30">
        <f>D193+D194</f>
      </c>
      <c r="E192" s="30">
        <f>E193+E194</f>
      </c>
      <c r="F192" s="30">
        <f>F193+F194</f>
      </c>
      <c r="G192" s="30">
        <f>G193+G194</f>
      </c>
      <c r="H192" s="30">
        <f>H193+H194</f>
      </c>
      <c r="I192" s="30">
        <f>I193+I194</f>
      </c>
      <c r="J192" s="30">
        <f>J193+J194</f>
      </c>
      <c r="K192" s="30">
        <f>K193+K194</f>
      </c>
      <c r="L192" s="30">
        <f>L193+L194</f>
      </c>
      <c r="M192" s="30">
        <f>M193+M194</f>
      </c>
      <c r="N192" s="30">
        <f>N193+N194</f>
      </c>
      <c r="O192" s="30">
        <f>O193+O194</f>
      </c>
      <c r="P192" s="30">
        <f>IF(SUM(D192:O192)=0,"0",AVERAGEIF(D192:O192,"&lt;&gt;0",D192:O192))</f>
      </c>
      <c r="Q192" s="29"/>
    </row>
    <row customHeight="true" ht="19" r="193">
      <c r="A193" s="15">
        <v>183</v>
      </c>
      <c r="B193" s="30" t="str">
        <v>浙江</v>
      </c>
      <c r="C193" s="27" t="str">
        <v>（1）当月平均购电价格</v>
      </c>
      <c r="D193" s="30">
        <v>0.4208</v>
      </c>
      <c r="E193" s="30">
        <v>0.4188</v>
      </c>
      <c r="F193" s="30">
        <v>0.4019</v>
      </c>
      <c r="G193" s="30">
        <v>0.4014</v>
      </c>
      <c r="H193" s="30">
        <v>0.3949</v>
      </c>
      <c r="I193" s="30">
        <v>0.4012</v>
      </c>
      <c r="J193" s="30">
        <v>0.4018</v>
      </c>
      <c r="K193" s="30">
        <v>0.3972</v>
      </c>
      <c r="L193" s="30">
        <v>0.3947</v>
      </c>
      <c r="M193" s="30">
        <v>0.3953</v>
      </c>
      <c r="N193" s="30">
        <v>0.385842</v>
      </c>
      <c r="O193" s="30">
        <v>0.402238</v>
      </c>
      <c r="P193" s="30">
        <f>IF(SUM(D193:O193)=0,"0",AVERAGEIF(D193:O193,"&lt;&gt;0",D193:O193))</f>
      </c>
      <c r="Q193" s="29"/>
    </row>
    <row customHeight="true" ht="19" r="194">
      <c r="A194" s="15">
        <v>184</v>
      </c>
      <c r="B194" s="30" t="str">
        <v>浙江</v>
      </c>
      <c r="C194" s="27" t="str">
        <v>（2）历史偏差电费折价</v>
      </c>
      <c r="D194" s="30">
        <v>0.0094</v>
      </c>
      <c r="E194" s="30">
        <v>0.0126</v>
      </c>
      <c r="F194" s="30">
        <v>0.0068</v>
      </c>
      <c r="G194" s="30">
        <v>0.0186</v>
      </c>
      <c r="H194" s="30">
        <v>0.0421</v>
      </c>
      <c r="I194" s="30">
        <v>0.0214</v>
      </c>
      <c r="J194" s="30">
        <v>0.0224</v>
      </c>
      <c r="K194" s="30">
        <v>0.0136</v>
      </c>
      <c r="L194" s="30">
        <v>0.0362</v>
      </c>
      <c r="M194" s="30">
        <v>0.0468</v>
      </c>
      <c r="N194" s="30">
        <v>0.032482</v>
      </c>
      <c r="O194" s="30">
        <v>0.040528</v>
      </c>
      <c r="P194" s="30">
        <f>IF(SUM(D194:O194)=0,"0",AVERAGEIF(D194:O194,"&lt;&gt;0",D194:O194))</f>
      </c>
      <c r="Q194" s="29"/>
    </row>
    <row customHeight="true" ht="19" r="195">
      <c r="A195" s="15">
        <v>185</v>
      </c>
      <c r="B195" s="30" t="str">
        <v>浙江</v>
      </c>
      <c r="C195" s="27" t="str">
        <v>上网环节线损费用折价</v>
      </c>
      <c r="D195" s="30">
        <v>0.0136</v>
      </c>
      <c r="E195" s="30">
        <v>-0.0057</v>
      </c>
      <c r="F195" s="30">
        <v>0.0147</v>
      </c>
      <c r="G195" s="30">
        <v>0.015</v>
      </c>
      <c r="H195" s="30">
        <v>0.0135</v>
      </c>
      <c r="I195" s="30">
        <v>0.0147</v>
      </c>
      <c r="J195" s="30">
        <v>0.0143</v>
      </c>
      <c r="K195" s="30">
        <v>0.0138</v>
      </c>
      <c r="L195" s="30">
        <v>0.013</v>
      </c>
      <c r="M195" s="30">
        <v>0.0127</v>
      </c>
      <c r="N195" s="30">
        <v>0.012919</v>
      </c>
      <c r="O195" s="30">
        <v>0.014393</v>
      </c>
      <c r="P195" s="30">
        <f>IF(SUM(D195:O195)=0,"0",AVERAGEIF(D195:O195,"&lt;&gt;0",D195:O195))</f>
      </c>
      <c r="Q195" s="29"/>
    </row>
    <row customHeight="true" ht="19" r="196">
      <c r="A196" s="15">
        <v>186</v>
      </c>
      <c r="B196" s="30" t="str">
        <v>浙江</v>
      </c>
      <c r="C196" s="27" t="str">
        <v>系统运行费用折合度电水平</v>
      </c>
      <c r="D196" s="30">
        <f>SUM(D197:D212)</f>
      </c>
      <c r="E196" s="30">
        <f>SUM(E197:E212)</f>
      </c>
      <c r="F196" s="30">
        <f>SUM(F197:F212)</f>
      </c>
      <c r="G196" s="30">
        <f>SUM(G197:G212)</f>
      </c>
      <c r="H196" s="30">
        <f>SUM(H197:H212)</f>
      </c>
      <c r="I196" s="30">
        <f>SUM(I197:I212)</f>
      </c>
      <c r="J196" s="30">
        <f>SUM(J197:J212)</f>
      </c>
      <c r="K196" s="30">
        <f>SUM(K197:K212)</f>
      </c>
      <c r="L196" s="30">
        <f>SUM(L197:L212)</f>
      </c>
      <c r="M196" s="30">
        <f>SUM(M197:M212)</f>
      </c>
      <c r="N196" s="30">
        <f>SUM(N197:N212)</f>
      </c>
      <c r="O196" s="30">
        <f>SUM(O197:O212)</f>
      </c>
      <c r="P196" s="30">
        <f>IF(SUM(D196:O196)=0,"0",AVERAGEIF(D196:O196,"&lt;&gt;0",D196:O196))</f>
      </c>
      <c r="Q196" s="29"/>
    </row>
    <row customHeight="true" ht="19" r="197">
      <c r="A197" s="15">
        <v>187</v>
      </c>
      <c r="B197" s="30" t="str">
        <v>浙江</v>
      </c>
      <c r="C197" s="27" t="str">
        <v>（1）辅助服务费用折合度电水平</v>
      </c>
      <c r="D197" s="30">
        <v>0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f>IF(SUM(D197:O197)=0,"0",AVERAGEIF(D197:O197,"&lt;&gt;0",D197:O197))</f>
      </c>
      <c r="Q197" s="29"/>
    </row>
    <row customHeight="true" ht="19" r="198">
      <c r="A198" s="15">
        <v>188</v>
      </c>
      <c r="B198" s="30" t="str">
        <v>浙江</v>
      </c>
      <c r="C198" s="27" t="str">
        <v>（2）抽水蓄能容量电费折合度电水平</v>
      </c>
      <c r="D198" s="30">
        <v>0.0063</v>
      </c>
      <c r="E198" s="30">
        <v>0.007</v>
      </c>
      <c r="F198" s="30">
        <v>0.0063</v>
      </c>
      <c r="G198" s="30">
        <v>0.0058</v>
      </c>
      <c r="H198" s="30">
        <v>0.0049</v>
      </c>
      <c r="I198" s="30">
        <v>0.0057</v>
      </c>
      <c r="J198" s="30">
        <v>0.0051</v>
      </c>
      <c r="K198" s="30">
        <v>0.0047</v>
      </c>
      <c r="L198" s="30">
        <v>0.0072</v>
      </c>
      <c r="M198" s="30">
        <v>0.008</v>
      </c>
      <c r="N198" s="30">
        <v>0.005185</v>
      </c>
      <c r="O198" s="30">
        <v>0.004609</v>
      </c>
      <c r="P198" s="30">
        <f>IF(SUM(D198:O198)=0,"0",AVERAGEIF(D198:O198,"&lt;&gt;0",D198:O198))</f>
      </c>
      <c r="Q198" s="29"/>
    </row>
    <row customHeight="true" ht="19" r="199">
      <c r="A199" s="15">
        <v>189</v>
      </c>
      <c r="B199" s="30" t="str">
        <v>浙江</v>
      </c>
      <c r="C199" s="27" t="str">
        <v>（3）上网环节线损代理采购损益折合度电水平</v>
      </c>
      <c r="D199" s="30">
        <v>0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f>IF(SUM(D199:O199)=0,"0",AVERAGEIF(D199:O199,"&lt;&gt;0",D199:O199))</f>
      </c>
      <c r="Q199" s="29"/>
    </row>
    <row customHeight="true" ht="19" r="200">
      <c r="A200" s="15">
        <v>190</v>
      </c>
      <c r="B200" s="30" t="str">
        <v>浙江</v>
      </c>
      <c r="C200" s="27" t="str">
        <v>（4）电价交叉补贴新增损益折合度电水平</v>
      </c>
      <c r="D200" s="30">
        <v>-0.0276</v>
      </c>
      <c r="E200" s="30">
        <v>-0.0233</v>
      </c>
      <c r="F200" s="30">
        <v>0.0198</v>
      </c>
      <c r="G200" s="30">
        <v>0.0169</v>
      </c>
      <c r="H200" s="30">
        <v>-0.0029</v>
      </c>
      <c r="I200" s="30">
        <v>-0.0061</v>
      </c>
      <c r="J200" s="30">
        <v>0.0078</v>
      </c>
      <c r="K200" s="30">
        <v>0.02</v>
      </c>
      <c r="L200" s="30">
        <v>-0.0073</v>
      </c>
      <c r="M200" s="30">
        <v>-0.0108</v>
      </c>
      <c r="N200" s="30">
        <v>-0.013026</v>
      </c>
      <c r="O200" s="30">
        <v>0.02714</v>
      </c>
      <c r="P200" s="30">
        <f>IF(SUM(D200:O200)=0,"0",AVERAGEIF(D200:O200,"&lt;&gt;0",D200:O200))</f>
      </c>
      <c r="Q200" s="29"/>
    </row>
    <row customHeight="true" ht="19" r="201">
      <c r="A201" s="15">
        <v>191</v>
      </c>
      <c r="B201" s="30" t="str">
        <v>浙江</v>
      </c>
      <c r="C201" s="27" t="str">
        <v>（5）煤电容量电费折合度电水平</v>
      </c>
      <c r="D201" s="30">
        <v>0.0186</v>
      </c>
      <c r="E201" s="30">
        <v>0.0186</v>
      </c>
      <c r="F201" s="30">
        <v>0.0139</v>
      </c>
      <c r="G201" s="30">
        <v>0.0139</v>
      </c>
      <c r="H201" s="30">
        <v>0.0142</v>
      </c>
      <c r="I201" s="30">
        <v>0.0139</v>
      </c>
      <c r="J201" s="30">
        <v>0.0118</v>
      </c>
      <c r="K201" s="30">
        <v>0.0124</v>
      </c>
      <c r="L201" s="30">
        <v>0.0134</v>
      </c>
      <c r="M201" s="30">
        <v>0.0137</v>
      </c>
      <c r="N201" s="30">
        <v>0.013452</v>
      </c>
      <c r="O201" s="30">
        <v>0.012045</v>
      </c>
      <c r="P201" s="30">
        <f>IF(SUM(D201:O201)=0,"0",AVERAGEIF(D201:O201,"&lt;&gt;0",D201:O201))</f>
      </c>
      <c r="Q201" s="29"/>
    </row>
    <row customHeight="true" ht="19" r="202">
      <c r="A202" s="15">
        <v>192</v>
      </c>
      <c r="B202" s="30" t="str">
        <v>浙江</v>
      </c>
      <c r="C202" s="27" t="str">
        <v>（6）天然气发电容量电费折合度电水平</v>
      </c>
      <c r="D202" s="30">
        <v>0.0138</v>
      </c>
      <c r="E202" s="30">
        <v>0.0134</v>
      </c>
      <c r="F202" s="30">
        <v>0.0091</v>
      </c>
      <c r="G202" s="30">
        <v>0.0096</v>
      </c>
      <c r="H202" s="30">
        <v>0.01</v>
      </c>
      <c r="I202" s="30">
        <v>0.0081</v>
      </c>
      <c r="J202" s="30">
        <v>0.0075</v>
      </c>
      <c r="K202" s="30">
        <v>0.0088</v>
      </c>
      <c r="L202" s="30">
        <v>0.0129</v>
      </c>
      <c r="M202" s="30">
        <v>0.0104</v>
      </c>
      <c r="N202" s="30">
        <v>0.007716</v>
      </c>
      <c r="O202" s="30">
        <v>0.008539</v>
      </c>
      <c r="P202" s="30">
        <f>IF(SUM(D202:O202)=0,"0",AVERAGEIF(D202:O202,"&lt;&gt;0",D202:O202))</f>
      </c>
      <c r="Q202" s="29"/>
    </row>
    <row customHeight="true" ht="19" r="203">
      <c r="A203" s="15">
        <v>193</v>
      </c>
      <c r="B203" s="30" t="str">
        <v>浙江</v>
      </c>
      <c r="C203" s="27" t="str">
        <v>（7）水电合约价差损益折合度电水平</v>
      </c>
      <c r="D203" s="30">
        <v>0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f>IF(SUM(D203:O203)=0,"0",AVERAGEIF(D203:O203,"&lt;&gt;0",D203:O203))</f>
      </c>
      <c r="Q203" s="29"/>
    </row>
    <row customHeight="true" ht="19" r="204">
      <c r="A204" s="15">
        <v>194</v>
      </c>
      <c r="B204" s="30" t="str">
        <v>浙江</v>
      </c>
      <c r="C204" s="27" t="str">
        <v>（8）独立储能容量电费折合度电水平</v>
      </c>
      <c r="D204" s="30">
        <v>0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f>IF(SUM(D204:O204)=0,"0",AVERAGEIF(D204:O204,"&lt;&gt;0",D204:O204))</f>
      </c>
      <c r="Q204" s="29"/>
    </row>
    <row customHeight="true" ht="19" r="205">
      <c r="A205" s="15">
        <v>195</v>
      </c>
      <c r="B205" s="30" t="str">
        <v>浙江</v>
      </c>
      <c r="C205" s="27" t="str">
        <v>（9）工商业峰谷分时损益折合度电水平</v>
      </c>
      <c r="D205" s="30">
        <v>0</v>
      </c>
      <c r="E205" s="30">
        <v>0.0342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0.08048</v>
      </c>
      <c r="O205" s="30">
        <v>0</v>
      </c>
      <c r="P205" s="30">
        <f>IF(SUM(D205:O205)=0,"0",AVERAGEIF(D205:O205,"&lt;&gt;0",D205:O205))</f>
      </c>
      <c r="Q205" s="29"/>
    </row>
    <row customHeight="true" ht="19" r="206">
      <c r="A206" s="15">
        <v>196</v>
      </c>
      <c r="B206" s="30" t="str">
        <v>浙江</v>
      </c>
      <c r="C206" s="27" t="str">
        <v>（10）功率因数调整电费损益折合度电水平</v>
      </c>
      <c r="D206" s="30">
        <v>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f>IF(SUM(D206:O206)=0,"0",AVERAGEIF(D206:O206,"&lt;&gt;0",D206:O206))</f>
      </c>
      <c r="Q206" s="29"/>
    </row>
    <row customHeight="true" ht="19" r="207">
      <c r="A207" s="15">
        <v>197</v>
      </c>
      <c r="B207" s="30" t="str">
        <v>浙江</v>
      </c>
      <c r="C207" s="27" t="str">
        <v>（11）新能源可持续发展价格结算机制差价结算费用折合度电水平</v>
      </c>
      <c r="D207" s="30">
        <v>0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f>IF(SUM(D207:O207)=0,"0",AVERAGEIF(D207:O207,"&lt;&gt;0",D207:O207))</f>
      </c>
      <c r="Q207" s="29"/>
    </row>
    <row customHeight="true" ht="19" r="208">
      <c r="A208" s="15">
        <v>198</v>
      </c>
      <c r="B208" s="30" t="str">
        <v>浙江</v>
      </c>
      <c r="C208" s="27" t="str">
        <v>（12）趸售电价损益折合度电水平</v>
      </c>
      <c r="D208" s="30">
        <v>0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f>IF(SUM(D208:O208)=0,"0",AVERAGEIF(D208:O208,"&lt;&gt;0",D208:O208))</f>
      </c>
      <c r="Q208" s="29"/>
    </row>
    <row customHeight="true" ht="19" r="209">
      <c r="A209" s="15">
        <v>199</v>
      </c>
      <c r="B209" s="30" t="str">
        <v>浙江</v>
      </c>
      <c r="C209" s="27" t="str">
        <v>（13）代理购电价格新增损益折合度电水平</v>
      </c>
      <c r="D209" s="30">
        <v>0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f>IF(SUM(D209:O209)=0,"0",AVERAGEIF(D209:O209,"&lt;&gt;0",D209:O209))</f>
      </c>
      <c r="Q209" s="29"/>
    </row>
    <row customHeight="true" ht="19" r="210">
      <c r="A210" s="15">
        <v>200</v>
      </c>
      <c r="B210" s="30" t="str">
        <v>浙江</v>
      </c>
      <c r="C210" s="27" t="str">
        <v>（14）跨省跨区应急调度价差损益折合度电水平</v>
      </c>
      <c r="D210" s="30">
        <v>0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f>IF(SUM(D210:O210)=0,"0",AVERAGEIF(D210:O210,"&lt;&gt;0",D210:O210))</f>
      </c>
      <c r="Q210" s="29"/>
    </row>
    <row customHeight="true" ht="19" r="211">
      <c r="A211" s="15">
        <v>200</v>
      </c>
      <c r="B211" s="30" t="str">
        <v>浙江</v>
      </c>
      <c r="C211" s="27" t="str">
        <v>（15）剩余优先发电价差损益度电水平（现货成本补偿）</v>
      </c>
      <c r="D211" s="30">
        <v>0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0.000048</v>
      </c>
      <c r="O211" s="30">
        <v>0.000028</v>
      </c>
      <c r="P211" s="30">
        <f>IF(SUM(D211:O211)=0,"0",AVERAGEIF(D211:O211,"&lt;&gt;0",D211:O211))</f>
      </c>
      <c r="Q211" s="29"/>
    </row>
    <row customHeight="true" ht="19" r="212">
      <c r="A212" s="15">
        <v>201</v>
      </c>
      <c r="B212" s="30" t="str">
        <v>浙江</v>
      </c>
      <c r="C212" s="27" t="str">
        <v>（16）其他费用折合度电水平</v>
      </c>
      <c r="D212" s="30">
        <v>0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f>IF(SUM(D212:O212)=0,"0",AVERAGEIF(D212:O212,"&lt;&gt;0",D212:O212))</f>
      </c>
      <c r="Q212" s="29"/>
    </row>
    <row r="213">
      <c r="A213" s="15">
        <v>202</v>
      </c>
      <c r="B213" s="15" t="str">
        <v>安徽</v>
      </c>
      <c r="C213" s="16" t="str">
        <v>代理工商业购电价格</v>
      </c>
      <c r="D213" s="15">
        <f>D214+D215</f>
      </c>
      <c r="E213" s="15">
        <f>E214+E215</f>
      </c>
      <c r="F213" s="15">
        <f>F214+F215</f>
      </c>
      <c r="G213" s="15">
        <f>G214+G215</f>
      </c>
      <c r="H213" s="15">
        <f>H214+H215</f>
      </c>
      <c r="I213" s="15">
        <f>I214+I215</f>
      </c>
      <c r="J213" s="15">
        <f>J214+J215</f>
      </c>
      <c r="K213" s="15">
        <f>K214+K215</f>
      </c>
      <c r="L213" s="15">
        <f>L214+L215</f>
      </c>
      <c r="M213" s="15">
        <f>M214+M215</f>
      </c>
      <c r="N213" s="15">
        <f>N214+N215</f>
      </c>
      <c r="O213" s="15">
        <f>O214+O215</f>
      </c>
      <c r="P213" s="15">
        <f>IF(SUM(D213:O213)=0,"0",AVERAGEIF(D213:O213,"&lt;&gt;0",D213:O213))</f>
      </c>
      <c r="Q213" s="14"/>
    </row>
    <row customHeight="true" ht="19" r="214">
      <c r="A214" s="15">
        <v>203</v>
      </c>
      <c r="B214" s="15" t="str">
        <v>安徽</v>
      </c>
      <c r="C214" s="16" t="str">
        <v>（1）当月平均购电价格</v>
      </c>
      <c r="D214" s="15">
        <v>0.40932</v>
      </c>
      <c r="E214" s="15">
        <v>0.41195</v>
      </c>
      <c r="F214" s="15">
        <v>0.41246</v>
      </c>
      <c r="G214" s="15">
        <v>0.41338</v>
      </c>
      <c r="H214" s="15">
        <v>0.41244</v>
      </c>
      <c r="I214" s="15">
        <v>0.41276</v>
      </c>
      <c r="J214" s="15">
        <v>0.41285</v>
      </c>
      <c r="K214" s="15">
        <v>0.41281</v>
      </c>
      <c r="L214" s="15">
        <v>0.41277</v>
      </c>
      <c r="M214" s="15">
        <v>0.41288</v>
      </c>
      <c r="N214" s="15">
        <v>0.41281</v>
      </c>
      <c r="O214" s="15">
        <v>0.4128</v>
      </c>
      <c r="P214" s="15">
        <f>IF(SUM(D214:O214)=0,"0",AVERAGEIF(D214:O214,"&lt;&gt;0",D214:O214))</f>
      </c>
      <c r="Q214" s="14"/>
    </row>
    <row customHeight="true" ht="19" r="215">
      <c r="A215" s="15">
        <v>204</v>
      </c>
      <c r="B215" s="15" t="str">
        <v>安徽</v>
      </c>
      <c r="C215" s="16" t="str">
        <v>（2）历史偏差电费折价</v>
      </c>
      <c r="D215" s="15">
        <v>0</v>
      </c>
      <c r="E215" s="15">
        <v>0</v>
      </c>
      <c r="F215" s="15">
        <v>-0.0026</v>
      </c>
      <c r="G215" s="15">
        <v>-0.0124</v>
      </c>
      <c r="H215" s="15">
        <v>0.0009</v>
      </c>
      <c r="I215" s="15">
        <v>-0.0001</v>
      </c>
      <c r="J215" s="15">
        <v>0.0031</v>
      </c>
      <c r="K215" s="15">
        <v>-0.0039</v>
      </c>
      <c r="L215" s="15">
        <v>-0.0003</v>
      </c>
      <c r="M215" s="15">
        <v>-0.0236</v>
      </c>
      <c r="N215" s="15">
        <v>-0.0243</v>
      </c>
      <c r="O215" s="15">
        <v>-0.0118</v>
      </c>
      <c r="P215" s="15">
        <f>IF(SUM(D215:O215)=0,"0",AVERAGEIF(D215:O215,"&lt;&gt;0",D215:O215))</f>
      </c>
      <c r="Q215" s="14"/>
    </row>
    <row customHeight="true" ht="19" r="216">
      <c r="A216" s="15">
        <v>205</v>
      </c>
      <c r="B216" s="15" t="str">
        <v>安徽</v>
      </c>
      <c r="C216" s="16" t="str">
        <v>上网环节线损费用折价</v>
      </c>
      <c r="D216" s="15">
        <v>0.017</v>
      </c>
      <c r="E216" s="15">
        <v>0.0171</v>
      </c>
      <c r="F216" s="15">
        <v>0.017</v>
      </c>
      <c r="G216" s="15">
        <v>0.0167</v>
      </c>
      <c r="H216" s="15">
        <v>0.0172</v>
      </c>
      <c r="I216" s="15">
        <v>0.0171</v>
      </c>
      <c r="J216" s="15">
        <v>0.0173</v>
      </c>
      <c r="K216" s="15">
        <v>0.017</v>
      </c>
      <c r="L216" s="15">
        <v>0.0171</v>
      </c>
      <c r="M216" s="15">
        <v>0.0162</v>
      </c>
      <c r="N216" s="15">
        <v>0.0161</v>
      </c>
      <c r="O216" s="15">
        <v>0.0167</v>
      </c>
      <c r="P216" s="15">
        <f>IF(SUM(D216:O216)=0,"0",AVERAGEIF(D216:O216,"&lt;&gt;0",D216:O216))</f>
      </c>
      <c r="Q216" s="14"/>
    </row>
    <row r="217">
      <c r="A217" s="15">
        <v>206</v>
      </c>
      <c r="B217" s="15" t="str">
        <v>安徽</v>
      </c>
      <c r="C217" s="16" t="str">
        <v>系统运行费用折合度电水平</v>
      </c>
      <c r="D217" s="15">
        <f>SUM(D218:D233)</f>
      </c>
      <c r="E217" s="15">
        <f>SUM(E218:E233)</f>
      </c>
      <c r="F217" s="15">
        <f>SUM(F218:F233)</f>
      </c>
      <c r="G217" s="15">
        <f>SUM(G218:G233)</f>
      </c>
      <c r="H217" s="15">
        <f>SUM(H218:H233)</f>
      </c>
      <c r="I217" s="15">
        <f>SUM(I218:I233)</f>
      </c>
      <c r="J217" s="15">
        <f>SUM(J218:J233)</f>
      </c>
      <c r="K217" s="15">
        <f>SUM(K218:K233)</f>
      </c>
      <c r="L217" s="15">
        <f>SUM(L218:L233)</f>
      </c>
      <c r="M217" s="15">
        <f>SUM(M218:M233)</f>
      </c>
      <c r="N217" s="15">
        <f>SUM(N218:N233)</f>
      </c>
      <c r="O217" s="15">
        <f>SUM(O218:O233)</f>
      </c>
      <c r="P217" s="15">
        <f>IF(SUM(D217:O217)=0,"0",AVERAGEIF(D217:O217,"&lt;&gt;0",D217:O217))</f>
      </c>
      <c r="Q217" s="14"/>
    </row>
    <row customHeight="true" ht="19" r="218">
      <c r="A218" s="15">
        <v>207</v>
      </c>
      <c r="B218" s="15" t="str">
        <v>安徽</v>
      </c>
      <c r="C218" s="16" t="str">
        <v>（1）辅助服务费用折合度电水平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f>IF(SUM(D218:O218)=0,"0",AVERAGEIF(D218:O218,"&lt;&gt;0",D218:O218))</f>
      </c>
      <c r="Q218" s="14"/>
    </row>
    <row customHeight="true" ht="19" r="219">
      <c r="A219" s="15">
        <v>208</v>
      </c>
      <c r="B219" s="15" t="str">
        <v>安徽</v>
      </c>
      <c r="C219" s="16" t="str">
        <v>（2）抽水蓄能容量电费折合度电水平</v>
      </c>
      <c r="D219" s="15">
        <v>0.0109</v>
      </c>
      <c r="E219" s="15">
        <v>0.0123</v>
      </c>
      <c r="F219" s="15">
        <v>0.0105</v>
      </c>
      <c r="G219" s="15">
        <v>0.01</v>
      </c>
      <c r="H219" s="15">
        <v>0.0103</v>
      </c>
      <c r="I219" s="15">
        <v>0.0104</v>
      </c>
      <c r="J219" s="15">
        <v>0.0097</v>
      </c>
      <c r="K219" s="15">
        <v>0.0094</v>
      </c>
      <c r="L219" s="15">
        <v>0.0086</v>
      </c>
      <c r="M219" s="15">
        <v>0.0106</v>
      </c>
      <c r="N219" s="15">
        <v>0.0103</v>
      </c>
      <c r="O219" s="15">
        <v>0.0091</v>
      </c>
      <c r="P219" s="15">
        <f>IF(SUM(D219:O219)=0,"0",AVERAGEIF(D219:O219,"&lt;&gt;0",D219:O219))</f>
      </c>
      <c r="Q219" s="14"/>
    </row>
    <row customHeight="true" ht="19" r="220">
      <c r="A220" s="15">
        <v>209</v>
      </c>
      <c r="B220" s="15" t="str">
        <v>安徽</v>
      </c>
      <c r="C220" s="16" t="str">
        <v>（3）上网环节线损代理采购损益折合度电水平</v>
      </c>
      <c r="D220" s="15">
        <v>-0.0001</v>
      </c>
      <c r="E220" s="15">
        <v>-0.0001</v>
      </c>
      <c r="F220" s="15">
        <v>-0.0012</v>
      </c>
      <c r="G220" s="15">
        <v>-0.0013</v>
      </c>
      <c r="H220" s="15">
        <v>-0.0011</v>
      </c>
      <c r="I220" s="15">
        <v>-0.001</v>
      </c>
      <c r="J220" s="15">
        <v>-0.0009</v>
      </c>
      <c r="K220" s="15">
        <v>-0.002</v>
      </c>
      <c r="L220" s="15">
        <v>-0.0011</v>
      </c>
      <c r="M220" s="15">
        <v>-0.002</v>
      </c>
      <c r="N220" s="15">
        <v>-0.0006</v>
      </c>
      <c r="O220" s="15">
        <v>-0.0001</v>
      </c>
      <c r="P220" s="15">
        <f>IF(SUM(D220:O220)=0,"0",AVERAGEIF(D220:O220,"&lt;&gt;0",D220:O220))</f>
      </c>
      <c r="Q220" s="14"/>
    </row>
    <row customHeight="true" ht="19" r="221">
      <c r="A221" s="15">
        <v>210</v>
      </c>
      <c r="B221" s="15" t="str">
        <v>安徽</v>
      </c>
      <c r="C221" s="16" t="str">
        <v>（4）电价交叉补贴新增损益折合度电水平</v>
      </c>
      <c r="D221" s="15">
        <v>-0.0187</v>
      </c>
      <c r="E221" s="15">
        <v>-0.0452</v>
      </c>
      <c r="F221" s="15">
        <v>0.0275</v>
      </c>
      <c r="G221" s="15">
        <v>0.0187</v>
      </c>
      <c r="H221" s="15">
        <v>0.0148</v>
      </c>
      <c r="I221" s="15">
        <v>0.0164</v>
      </c>
      <c r="J221" s="15">
        <v>0.0121</v>
      </c>
      <c r="K221" s="15">
        <v>0.0451</v>
      </c>
      <c r="L221" s="15">
        <v>0.0493</v>
      </c>
      <c r="M221" s="15">
        <v>0.0409</v>
      </c>
      <c r="N221" s="15">
        <v>0.0072</v>
      </c>
      <c r="O221" s="15">
        <v>-0.025</v>
      </c>
      <c r="P221" s="15">
        <f>IF(SUM(D221:O221)=0,"0",AVERAGEIF(D221:O221,"&lt;&gt;0",D221:O221))</f>
      </c>
      <c r="Q221" s="14"/>
    </row>
    <row customHeight="true" ht="19" r="222">
      <c r="A222" s="15">
        <v>211</v>
      </c>
      <c r="B222" s="15" t="str">
        <v>安徽</v>
      </c>
      <c r="C222" s="16" t="str">
        <v>（5）煤电容量电费折合度电水平</v>
      </c>
      <c r="D222" s="15">
        <v>0.0221</v>
      </c>
      <c r="E222" s="15">
        <v>0.0247</v>
      </c>
      <c r="F222" s="15">
        <v>0.0211</v>
      </c>
      <c r="G222" s="15">
        <v>0.0202</v>
      </c>
      <c r="H222" s="15">
        <v>0.0217</v>
      </c>
      <c r="I222" s="15">
        <v>0.0214</v>
      </c>
      <c r="J222" s="15">
        <v>0.0195</v>
      </c>
      <c r="K222" s="15">
        <v>0.0187</v>
      </c>
      <c r="L222" s="15">
        <v>0.0191</v>
      </c>
      <c r="M222" s="15">
        <v>0.0227</v>
      </c>
      <c r="N222" s="15">
        <v>0.0223</v>
      </c>
      <c r="O222" s="15">
        <v>0.0199</v>
      </c>
      <c r="P222" s="15">
        <f>IF(SUM(D222:O222)=0,"0",AVERAGEIF(D222:O222,"&lt;&gt;0",D222:O222))</f>
      </c>
      <c r="Q222" s="14"/>
    </row>
    <row customHeight="true" ht="19" r="223">
      <c r="A223" s="15">
        <v>212</v>
      </c>
      <c r="B223" s="15" t="str">
        <v>安徽</v>
      </c>
      <c r="C223" s="16" t="str">
        <v>（6）天然气发电容量电费折合度电水平</v>
      </c>
      <c r="D223" s="15">
        <v>0.0032</v>
      </c>
      <c r="E223" s="15">
        <v>0.0036</v>
      </c>
      <c r="F223" s="15">
        <v>0.0031</v>
      </c>
      <c r="G223" s="15">
        <v>0.003</v>
      </c>
      <c r="H223" s="15">
        <v>0.003</v>
      </c>
      <c r="I223" s="15">
        <v>0.003</v>
      </c>
      <c r="J223" s="15">
        <v>0.0028</v>
      </c>
      <c r="K223" s="15">
        <v>0.0026</v>
      </c>
      <c r="L223" s="15">
        <v>0.0026</v>
      </c>
      <c r="M223" s="15">
        <v>0.0031</v>
      </c>
      <c r="N223" s="15">
        <v>0.0029</v>
      </c>
      <c r="O223" s="15">
        <v>0.0026</v>
      </c>
      <c r="P223" s="15">
        <f>IF(SUM(D223:O223)=0,"0",AVERAGEIF(D223:O223,"&lt;&gt;0",D223:O223))</f>
      </c>
      <c r="Q223" s="14"/>
    </row>
    <row customHeight="true" ht="19" r="224">
      <c r="A224" s="15">
        <v>213</v>
      </c>
      <c r="B224" s="15" t="str">
        <v>安徽</v>
      </c>
      <c r="C224" s="16" t="str">
        <v>（7）水电合约价差损益折合度电水平</v>
      </c>
      <c r="D224" s="15">
        <v>0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f>IF(SUM(D224:O224)=0,"0",AVERAGEIF(D224:O224,"&lt;&gt;0",D224:O224))</f>
      </c>
      <c r="Q224" s="14"/>
    </row>
    <row customHeight="true" ht="19" r="225">
      <c r="A225" s="15">
        <v>214</v>
      </c>
      <c r="B225" s="15" t="str">
        <v>安徽</v>
      </c>
      <c r="C225" s="16" t="str">
        <v>（8）独立储能容量电费折合度电水平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f>IF(SUM(D225:O225)=0,"0",AVERAGEIF(D225:O225,"&lt;&gt;0",D225:O225))</f>
      </c>
      <c r="Q225" s="14"/>
    </row>
    <row customHeight="true" ht="19" r="226">
      <c r="A226" s="15">
        <v>215</v>
      </c>
      <c r="B226" s="15" t="str">
        <v>安徽</v>
      </c>
      <c r="C226" s="16" t="str">
        <v>（9）工商业峰谷分时损益折合度电水平</v>
      </c>
      <c r="D226" s="15">
        <v>-0.0004</v>
      </c>
      <c r="E226" s="15">
        <v>0.0027</v>
      </c>
      <c r="F226" s="15">
        <v>-0.0122</v>
      </c>
      <c r="G226" s="15">
        <v>-0.0047</v>
      </c>
      <c r="H226" s="15">
        <v>0.0065</v>
      </c>
      <c r="I226" s="15">
        <v>0.0091</v>
      </c>
      <c r="J226" s="15">
        <v>0.0083</v>
      </c>
      <c r="K226" s="15">
        <v>0.0035</v>
      </c>
      <c r="L226" s="15">
        <v>-0.0105</v>
      </c>
      <c r="M226" s="15">
        <v>-0.0104</v>
      </c>
      <c r="N226" s="15">
        <v>-0.0073</v>
      </c>
      <c r="O226" s="15">
        <v>0.0169</v>
      </c>
      <c r="P226" s="15">
        <f>IF(SUM(D226:O226)=0,"0",AVERAGEIF(D226:O226,"&lt;&gt;0",D226:O226))</f>
      </c>
      <c r="Q226" s="14"/>
    </row>
    <row customHeight="true" ht="19" r="227">
      <c r="A227" s="15">
        <v>216</v>
      </c>
      <c r="B227" s="15" t="str">
        <v>安徽</v>
      </c>
      <c r="C227" s="16" t="str">
        <v>（10）功率因数调整电费损益折合度电水平</v>
      </c>
      <c r="D227" s="15">
        <v>0.0017</v>
      </c>
      <c r="E227" s="15">
        <v>0.0036</v>
      </c>
      <c r="F227" s="15">
        <v>0.0017</v>
      </c>
      <c r="G227" s="15">
        <v>0.0014</v>
      </c>
      <c r="H227" s="15">
        <v>0.0021</v>
      </c>
      <c r="I227" s="15">
        <v>0.0011</v>
      </c>
      <c r="J227" s="15">
        <v>0.0008</v>
      </c>
      <c r="K227" s="15">
        <v>0.0013</v>
      </c>
      <c r="L227" s="15">
        <v>0.0015</v>
      </c>
      <c r="M227" s="15">
        <v>0.0021</v>
      </c>
      <c r="N227" s="15">
        <v>0.0019</v>
      </c>
      <c r="O227" s="15">
        <v>0.0012</v>
      </c>
      <c r="P227" s="15">
        <f>IF(SUM(D227:O227)=0,"0",AVERAGEIF(D227:O227,"&lt;&gt;0",D227:O227))</f>
      </c>
      <c r="Q227" s="14"/>
    </row>
    <row customHeight="true" ht="19" r="228">
      <c r="A228" s="15">
        <v>217</v>
      </c>
      <c r="B228" s="15" t="str">
        <v>安徽</v>
      </c>
      <c r="C228" s="16" t="str">
        <v>（11）新能源可持续发展价格结算机制差价结算费用折合度电水平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f>IF(SUM(D228:O228)=0,"0",AVERAGEIF(D228:O228,"&lt;&gt;0",D228:O228))</f>
      </c>
      <c r="Q228" s="14"/>
    </row>
    <row customHeight="true" ht="19" r="229">
      <c r="A229" s="15">
        <v>218</v>
      </c>
      <c r="B229" s="15" t="str">
        <v>安徽</v>
      </c>
      <c r="C229" s="16" t="str">
        <v>（12）趸售电价损益折合度电水平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f>IF(SUM(D229:O229)=0,"0",AVERAGEIF(D229:O229,"&lt;&gt;0",D229:O229))</f>
      </c>
      <c r="Q229" s="14"/>
    </row>
    <row customHeight="true" ht="19" r="230">
      <c r="A230" s="15">
        <v>219</v>
      </c>
      <c r="B230" s="15" t="str">
        <v>安徽</v>
      </c>
      <c r="C230" s="39" t="str">
        <v>（13）代理购电价格新增损益折合度电水平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f>IF(SUM(D230:O230)=0,"0",AVERAGEIF(D230:O230,"&lt;&gt;0",D230:O230))</f>
      </c>
      <c r="Q230" s="14"/>
    </row>
    <row customHeight="true" ht="19" r="231">
      <c r="A231" s="15">
        <v>219</v>
      </c>
      <c r="B231" s="15" t="str">
        <v>安徽</v>
      </c>
      <c r="C231" s="39" t="str">
        <v>（14）跨省跨区应急调度价差损益折合度电水平</v>
      </c>
      <c r="D231" s="15">
        <v>0.0075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0.0088</v>
      </c>
      <c r="K231" s="15">
        <v>0.0086</v>
      </c>
      <c r="L231" s="15">
        <v>0</v>
      </c>
      <c r="M231" s="15">
        <v>0</v>
      </c>
      <c r="N231" s="15">
        <v>0</v>
      </c>
      <c r="O231" s="15">
        <v>0</v>
      </c>
      <c r="P231" s="15">
        <f>IF(SUM(D231:O231)=0,"0",AVERAGEIF(D231:O231,"&lt;&gt;0",D231:O231))</f>
      </c>
      <c r="Q231" s="14"/>
    </row>
    <row customHeight="true" ht="19" r="232">
      <c r="A232" s="15">
        <v>220</v>
      </c>
      <c r="B232" s="15" t="str">
        <v>安徽</v>
      </c>
      <c r="C232" s="39" t="str">
        <v>（15）剩余优先发电价差损益度电水平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f>IF(SUM(D232:O232)=0,"0",AVERAGEIF(D232:O232,"&lt;&gt;0",D232:O232))</f>
      </c>
      <c r="Q232" s="14"/>
    </row>
    <row customHeight="true" ht="19" r="233">
      <c r="A233" s="15">
        <v>221</v>
      </c>
      <c r="B233" s="15" t="str">
        <v>安徽</v>
      </c>
      <c r="C233" s="39" t="str">
        <v>（16）其他费用折合度电水平</v>
      </c>
      <c r="D233" s="15">
        <v>0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f>IF(SUM(D233:O233)=0,"0",AVERAGEIF(D233:O233,"&lt;&gt;0",D233:O233))</f>
      </c>
      <c r="Q233" s="14"/>
    </row>
    <row r="234">
      <c r="A234" s="15">
        <v>222</v>
      </c>
      <c r="B234" s="30" t="str">
        <v>福建</v>
      </c>
      <c r="C234" s="27" t="str">
        <v>代理工商业购电价格</v>
      </c>
      <c r="D234" s="30">
        <f>D235+D236</f>
      </c>
      <c r="E234" s="30">
        <f>E235+E236</f>
      </c>
      <c r="F234" s="30">
        <f>F235+F236</f>
      </c>
      <c r="G234" s="30">
        <f>G235+G236</f>
      </c>
      <c r="H234" s="30">
        <f>H235+H236</f>
      </c>
      <c r="I234" s="30">
        <f>I235+I236</f>
      </c>
      <c r="J234" s="30">
        <f>J235+J236</f>
      </c>
      <c r="K234" s="30">
        <f>K235+K236</f>
      </c>
      <c r="L234" s="30">
        <f>L235+L236</f>
      </c>
      <c r="M234" s="30">
        <f>M235+M236</f>
      </c>
      <c r="N234" s="30">
        <f>N235+N236</f>
      </c>
      <c r="O234" s="30">
        <f>O235+O236</f>
      </c>
      <c r="P234" s="30">
        <f>IF(SUM(D234:O234)=0,"0",AVERAGEIF(D234:O234,"&lt;&gt;0",D234:O234))</f>
      </c>
      <c r="Q234" s="29"/>
    </row>
    <row customHeight="true" ht="19" r="235">
      <c r="A235" s="15">
        <v>223</v>
      </c>
      <c r="B235" s="30" t="str">
        <v>福建</v>
      </c>
      <c r="C235" s="27" t="str">
        <v>（1）当月平均购电价格</v>
      </c>
      <c r="D235" s="30">
        <v>0.4178</v>
      </c>
      <c r="E235" s="30">
        <v>0.4047</v>
      </c>
      <c r="F235" s="30">
        <v>0.4054</v>
      </c>
      <c r="G235" s="30">
        <v>0.4092</v>
      </c>
      <c r="H235" s="30">
        <v>0.4317</v>
      </c>
      <c r="I235" s="30">
        <v>0.4173</v>
      </c>
      <c r="J235" s="30">
        <v>0.4128</v>
      </c>
      <c r="K235" s="30">
        <v>0.4042</v>
      </c>
      <c r="L235" s="30">
        <v>0.4043</v>
      </c>
      <c r="M235" s="30">
        <v>0.403188</v>
      </c>
      <c r="N235" s="30">
        <v>0.402528</v>
      </c>
      <c r="O235" s="30">
        <v>0.401071</v>
      </c>
      <c r="P235" s="30">
        <f>IF(SUM(D235:O235)=0,"0",AVERAGEIF(D235:O235,"&lt;&gt;0",D235:O235))</f>
      </c>
      <c r="Q235" s="29"/>
    </row>
    <row customHeight="true" ht="19" r="236">
      <c r="A236" s="15">
        <v>224</v>
      </c>
      <c r="B236" s="30" t="str">
        <v>福建</v>
      </c>
      <c r="C236" s="27" t="str">
        <v>（2）历史偏差电费折价</v>
      </c>
      <c r="D236" s="30">
        <v>0.0005</v>
      </c>
      <c r="E236" s="30">
        <v>0.0003</v>
      </c>
      <c r="F236" s="30">
        <v>-0.0081</v>
      </c>
      <c r="G236" s="30">
        <v>-0.0002</v>
      </c>
      <c r="H236" s="30">
        <v>-0.0024</v>
      </c>
      <c r="I236" s="30">
        <v>0.0206</v>
      </c>
      <c r="J236" s="30">
        <v>-0.0079</v>
      </c>
      <c r="K236" s="30">
        <v>-0.0303</v>
      </c>
      <c r="L236" s="30">
        <v>0.0049</v>
      </c>
      <c r="M236" s="30">
        <v>0.005241</v>
      </c>
      <c r="N236" s="30">
        <v>0.00613</v>
      </c>
      <c r="O236" s="30">
        <v>0.013911</v>
      </c>
      <c r="P236" s="30">
        <f>IF(SUM(D236:O236)=0,"0",AVERAGEIF(D236:O236,"&lt;&gt;0",D236:O236))</f>
      </c>
      <c r="Q236" s="29"/>
    </row>
    <row customHeight="true" ht="19" r="237">
      <c r="A237" s="15">
        <v>225</v>
      </c>
      <c r="B237" s="30" t="str">
        <v>福建</v>
      </c>
      <c r="C237" s="27" t="str">
        <v>上网环节线损费用折价</v>
      </c>
      <c r="D237" s="30">
        <v>0.0156</v>
      </c>
      <c r="E237" s="30">
        <v>0.0151</v>
      </c>
      <c r="F237" s="30">
        <v>0.0151</v>
      </c>
      <c r="G237" s="30">
        <v>0.0153</v>
      </c>
      <c r="H237" s="30">
        <v>0.0161</v>
      </c>
      <c r="I237" s="30">
        <v>0.0156</v>
      </c>
      <c r="J237" s="30">
        <v>0.0154</v>
      </c>
      <c r="K237" s="30">
        <v>0.0151</v>
      </c>
      <c r="L237" s="30">
        <v>0.0151</v>
      </c>
      <c r="M237" s="30">
        <v>0.015057</v>
      </c>
      <c r="N237" s="30">
        <v>0.015032</v>
      </c>
      <c r="O237" s="30">
        <v>0.014978</v>
      </c>
      <c r="P237" s="30">
        <f>IF(SUM(D237:O237)=0,"0",AVERAGEIF(D237:O237,"&lt;&gt;0",D237:O237))</f>
      </c>
      <c r="Q237" s="29"/>
    </row>
    <row r="238">
      <c r="A238" s="15">
        <v>226</v>
      </c>
      <c r="B238" s="30" t="str">
        <v>福建</v>
      </c>
      <c r="C238" s="27" t="str">
        <v>系统运行费用折合度电水平</v>
      </c>
      <c r="D238" s="30">
        <f>SUM(D239:D254)</f>
      </c>
      <c r="E238" s="30">
        <f>SUM(E239:E254)</f>
      </c>
      <c r="F238" s="30">
        <f>SUM(F239:F254)</f>
      </c>
      <c r="G238" s="30">
        <f>SUM(G239:G254)</f>
      </c>
      <c r="H238" s="30">
        <f>SUM(H239:H254)</f>
      </c>
      <c r="I238" s="30">
        <f>SUM(I239:I254)</f>
      </c>
      <c r="J238" s="30">
        <f>SUM(J239:J254)</f>
      </c>
      <c r="K238" s="30">
        <f>SUM(K239:K254)</f>
      </c>
      <c r="L238" s="30">
        <f>SUM(L239:L254)</f>
      </c>
      <c r="M238" s="30">
        <f>SUM(M239:M254)</f>
      </c>
      <c r="N238" s="30">
        <f>SUM(N239:N254)</f>
      </c>
      <c r="O238" s="30">
        <f>SUM(O239:O254)</f>
      </c>
      <c r="P238" s="30">
        <f>IF(SUM(D238:O238)=0,"0",AVERAGEIF(D238:O238,"&lt;&gt;0",D238:O238))</f>
      </c>
      <c r="Q238" s="29"/>
    </row>
    <row customHeight="true" ht="19" r="239">
      <c r="A239" s="15">
        <v>227</v>
      </c>
      <c r="B239" s="30" t="str">
        <v>福建</v>
      </c>
      <c r="C239" s="27" t="str">
        <v>（1）辅助服务费用折合度电水平</v>
      </c>
      <c r="D239" s="30">
        <v>0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f>IF(SUM(D239:O239)=0,"0",AVERAGEIF(D239:O239,"&lt;&gt;0",D239:O239))</f>
      </c>
      <c r="Q239" s="29"/>
    </row>
    <row customHeight="true" ht="19" r="240">
      <c r="A240" s="15">
        <v>228</v>
      </c>
      <c r="B240" s="30" t="str">
        <v>福建</v>
      </c>
      <c r="C240" s="27" t="str">
        <v>（2）抽水蓄能容量电费折合度电水平</v>
      </c>
      <c r="D240" s="30">
        <v>0.0171</v>
      </c>
      <c r="E240" s="30">
        <v>0.0178</v>
      </c>
      <c r="F240" s="30">
        <v>0.0134</v>
      </c>
      <c r="G240" s="30">
        <v>0.0139</v>
      </c>
      <c r="H240" s="30">
        <v>0.0131</v>
      </c>
      <c r="I240" s="30">
        <v>0.0124</v>
      </c>
      <c r="J240" s="30">
        <v>0.0113</v>
      </c>
      <c r="K240" s="30">
        <v>0.0118</v>
      </c>
      <c r="L240" s="30">
        <v>0.0125</v>
      </c>
      <c r="M240" s="30">
        <v>0.012575</v>
      </c>
      <c r="N240" s="30">
        <v>0.012601</v>
      </c>
      <c r="O240" s="30">
        <v>0.012525</v>
      </c>
      <c r="P240" s="30">
        <f>IF(SUM(D240:O240)=0,"0",AVERAGEIF(D240:O240,"&lt;&gt;0",D240:O240))</f>
      </c>
      <c r="Q240" s="29"/>
    </row>
    <row customHeight="true" ht="19" r="241">
      <c r="A241" s="15">
        <v>229</v>
      </c>
      <c r="B241" s="30" t="str">
        <v>福建</v>
      </c>
      <c r="C241" s="27" t="str">
        <v>（3）上网环节线损代理采购损益折合度电水平</v>
      </c>
      <c r="D241" s="30">
        <v>-0.0023</v>
      </c>
      <c r="E241" s="30">
        <v>-0.0021</v>
      </c>
      <c r="F241" s="30">
        <v>-0.0013</v>
      </c>
      <c r="G241" s="30">
        <v>-0.0011</v>
      </c>
      <c r="H241" s="30">
        <v>-0.0022</v>
      </c>
      <c r="I241" s="30">
        <v>-0.0022</v>
      </c>
      <c r="J241" s="30">
        <v>-0.0015</v>
      </c>
      <c r="K241" s="30">
        <v>-0.0023</v>
      </c>
      <c r="L241" s="30">
        <v>-0.0011</v>
      </c>
      <c r="M241" s="30">
        <v>-0.001225</v>
      </c>
      <c r="N241" s="30">
        <v>-0.002025</v>
      </c>
      <c r="O241" s="30">
        <v>-0.002044</v>
      </c>
      <c r="P241" s="30">
        <f>IF(SUM(D241:O241)=0,"0",AVERAGEIF(D241:O241,"&lt;&gt;0",D241:O241))</f>
      </c>
      <c r="Q241" s="29"/>
    </row>
    <row customHeight="true" ht="19" r="242">
      <c r="A242" s="15">
        <v>230</v>
      </c>
      <c r="B242" s="30" t="str">
        <v>福建</v>
      </c>
      <c r="C242" s="27" t="str">
        <v>（4）电价交叉补贴新增损益折合度电水平</v>
      </c>
      <c r="D242" s="30">
        <v>0</v>
      </c>
      <c r="E242" s="30">
        <v>0.0144</v>
      </c>
      <c r="F242" s="30">
        <v>0.0038</v>
      </c>
      <c r="G242" s="30">
        <v>0.0071</v>
      </c>
      <c r="H242" s="30">
        <v>-0.0177</v>
      </c>
      <c r="I242" s="30">
        <v>-0.0073</v>
      </c>
      <c r="J242" s="30">
        <v>0.0164</v>
      </c>
      <c r="K242" s="30">
        <v>0.0359</v>
      </c>
      <c r="L242" s="30">
        <v>0.0136</v>
      </c>
      <c r="M242" s="30">
        <v>0.000874</v>
      </c>
      <c r="N242" s="30">
        <v>0.007716</v>
      </c>
      <c r="O242" s="30">
        <v>-0.006625</v>
      </c>
      <c r="P242" s="30">
        <f>IF(SUM(D242:O242)=0,"0",AVERAGEIF(D242:O242,"&lt;&gt;0",D242:O242))</f>
      </c>
      <c r="Q242" s="29"/>
    </row>
    <row customHeight="true" ht="19" r="243">
      <c r="A243" s="15">
        <v>231</v>
      </c>
      <c r="B243" s="30" t="str">
        <v>福建</v>
      </c>
      <c r="C243" s="27" t="str">
        <v>（5）煤电容量电费折合度电水平</v>
      </c>
      <c r="D243" s="30">
        <v>0.0179</v>
      </c>
      <c r="E243" s="30">
        <v>0.0187</v>
      </c>
      <c r="F243" s="30">
        <v>0.0143</v>
      </c>
      <c r="G243" s="30">
        <v>0.0149</v>
      </c>
      <c r="H243" s="30">
        <v>0.0136</v>
      </c>
      <c r="I243" s="30">
        <v>0.0134</v>
      </c>
      <c r="J243" s="30">
        <v>0.0157</v>
      </c>
      <c r="K243" s="30">
        <v>0.0128</v>
      </c>
      <c r="L243" s="30">
        <v>0.014</v>
      </c>
      <c r="M243" s="30">
        <v>0.014863</v>
      </c>
      <c r="N243" s="30">
        <v>0.015406</v>
      </c>
      <c r="O243" s="30">
        <v>0.013935</v>
      </c>
      <c r="P243" s="30">
        <f>IF(SUM(D243:O243)=0,"0",AVERAGEIF(D243:O243,"&lt;&gt;0",D243:O243))</f>
      </c>
      <c r="Q243" s="29"/>
    </row>
    <row customHeight="true" ht="19" r="244">
      <c r="A244" s="15">
        <v>232</v>
      </c>
      <c r="B244" s="30" t="str">
        <v>福建</v>
      </c>
      <c r="C244" s="27" t="str">
        <v>（6）天然气发电容量电费折合度电水平</v>
      </c>
      <c r="D244" s="30">
        <v>0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f>IF(SUM(D244:O244)=0,"0",AVERAGEIF(D244:O244,"&lt;&gt;0",D244:O244))</f>
      </c>
      <c r="Q244" s="29"/>
    </row>
    <row customHeight="true" ht="19" r="245">
      <c r="A245" s="15">
        <v>233</v>
      </c>
      <c r="B245" s="30" t="str">
        <v>福建</v>
      </c>
      <c r="C245" s="27" t="str">
        <v>（7）水电合约价差损益折合度电水平</v>
      </c>
      <c r="D245" s="30">
        <v>0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f>IF(SUM(D245:O245)=0,"0",AVERAGEIF(D245:O245,"&lt;&gt;0",D245:O245))</f>
      </c>
      <c r="Q245" s="29"/>
    </row>
    <row customHeight="true" ht="19" r="246">
      <c r="A246" s="15">
        <v>234</v>
      </c>
      <c r="B246" s="30" t="str">
        <v>福建</v>
      </c>
      <c r="C246" s="27" t="str">
        <v>（8）独立储能容量电费折合度电水平</v>
      </c>
      <c r="D246" s="30">
        <v>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f>IF(SUM(D246:O246)=0,"0",AVERAGEIF(D246:O246,"&lt;&gt;0",D246:O246))</f>
      </c>
      <c r="Q246" s="29"/>
    </row>
    <row customHeight="true" ht="19" r="247">
      <c r="A247" s="15">
        <v>235</v>
      </c>
      <c r="B247" s="30" t="str">
        <v>福建</v>
      </c>
      <c r="C247" s="27" t="str">
        <v>（9）工商业峰谷分时损益折合度电水平</v>
      </c>
      <c r="D247" s="30">
        <v>0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f>IF(SUM(D247:O247)=0,"0",AVERAGEIF(D247:O247,"&lt;&gt;0",D247:O247))</f>
      </c>
      <c r="Q247" s="29"/>
    </row>
    <row customHeight="true" ht="19" r="248">
      <c r="A248" s="15">
        <v>236</v>
      </c>
      <c r="B248" s="30" t="str">
        <v>福建</v>
      </c>
      <c r="C248" s="27" t="str">
        <v>（10）功率因数调整电费损益折合度电水平</v>
      </c>
      <c r="D248" s="30">
        <v>0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f>IF(SUM(D248:O248)=0,"0",AVERAGEIF(D248:O248,"&lt;&gt;0",D248:O248))</f>
      </c>
      <c r="Q248" s="29"/>
    </row>
    <row customHeight="true" ht="19" r="249">
      <c r="A249" s="15">
        <v>237</v>
      </c>
      <c r="B249" s="30" t="str">
        <v>福建</v>
      </c>
      <c r="C249" s="27" t="str">
        <v>（11）新能源可持续发展价格结算机制差价结算费用折合度电水平</v>
      </c>
      <c r="D249" s="30">
        <v>0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f>IF(SUM(D249:O249)=0,"0",AVERAGEIF(D249:O249,"&lt;&gt;0",D249:O249))</f>
      </c>
      <c r="Q249" s="29"/>
    </row>
    <row customHeight="true" ht="19" r="250">
      <c r="A250" s="15">
        <v>238</v>
      </c>
      <c r="B250" s="30" t="str">
        <v>福建</v>
      </c>
      <c r="C250" s="27" t="str">
        <v>（12）趸售电价损益折合度电水平</v>
      </c>
      <c r="D250" s="30">
        <v>0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f>IF(SUM(D250:O250)=0,"0",AVERAGEIF(D250:O250,"&lt;&gt;0",D250:O250))</f>
      </c>
      <c r="Q250" s="29"/>
    </row>
    <row customHeight="true" ht="19" r="251">
      <c r="A251" s="15">
        <v>239</v>
      </c>
      <c r="B251" s="30" t="str">
        <v>福建</v>
      </c>
      <c r="C251" s="27" t="str">
        <v>（13）代理购电价格新增损益折合度电水平</v>
      </c>
      <c r="D251" s="30">
        <v>0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f>IF(SUM(D251:O251)=0,"0",AVERAGEIF(D251:O251,"&lt;&gt;0",D251:O251))</f>
      </c>
      <c r="Q251" s="29"/>
    </row>
    <row customHeight="true" ht="19" r="252">
      <c r="A252" s="15">
        <v>240</v>
      </c>
      <c r="B252" s="30" t="str">
        <v>福建</v>
      </c>
      <c r="C252" s="27" t="str">
        <v>（14）跨省跨区应急调度价差损益折合度电水平</v>
      </c>
      <c r="D252" s="30">
        <v>0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f>IF(SUM(D252:O252)=0,"0",AVERAGEIF(D252:O252,"&lt;&gt;0",D252:O252))</f>
      </c>
      <c r="Q252" s="29"/>
    </row>
    <row customHeight="true" ht="19" r="253">
      <c r="A253" s="15">
        <v>240</v>
      </c>
      <c r="B253" s="30" t="str">
        <v>福建</v>
      </c>
      <c r="C253" s="27" t="str">
        <v>（15）剩余优先发电价差损益度电水平</v>
      </c>
      <c r="D253" s="30">
        <v>0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f>IF(SUM(D253:O253)=0,"0",AVERAGEIF(D253:O253,"&lt;&gt;0",D253:O253))</f>
      </c>
      <c r="Q253" s="29"/>
    </row>
    <row customHeight="true" ht="19" r="254">
      <c r="A254" s="15">
        <v>241</v>
      </c>
      <c r="B254" s="30" t="str">
        <v>福建</v>
      </c>
      <c r="C254" s="27" t="str">
        <v>（16）其他费用折合度电水平</v>
      </c>
      <c r="D254" s="30">
        <v>0.0032</v>
      </c>
      <c r="E254" s="30">
        <v>0.004</v>
      </c>
      <c r="F254" s="30">
        <v>0.0027</v>
      </c>
      <c r="G254" s="30">
        <v>0.0052</v>
      </c>
      <c r="H254" s="30">
        <v>0.0157</v>
      </c>
      <c r="I254" s="30">
        <v>0.0171</v>
      </c>
      <c r="J254" s="30">
        <v>-0.0122</v>
      </c>
      <c r="K254" s="30">
        <v>-0.0199</v>
      </c>
      <c r="L254" s="30">
        <v>0.004</v>
      </c>
      <c r="M254" s="30">
        <v>0.007546</v>
      </c>
      <c r="N254" s="30">
        <v>-0.004037</v>
      </c>
      <c r="O254" s="30">
        <v>0.002582</v>
      </c>
      <c r="P254" s="30">
        <f>IF(SUM(D254:O254)=0,"0",AVERAGEIF(D254:O254,"&lt;&gt;0",D254:O254))</f>
      </c>
      <c r="Q254" s="29"/>
    </row>
    <row r="255">
      <c r="A255" s="15">
        <v>242</v>
      </c>
      <c r="B255" s="15" t="str">
        <v>湖北</v>
      </c>
      <c r="C255" s="16" t="str">
        <v>代理工商业购电价格</v>
      </c>
      <c r="D255" s="15">
        <f>D256+D257</f>
      </c>
      <c r="E255" s="15">
        <f>E256+E257</f>
      </c>
      <c r="F255" s="15">
        <f>F256+F257</f>
      </c>
      <c r="G255" s="15">
        <f>G256+G257</f>
      </c>
      <c r="H255" s="15">
        <f>H256+H257</f>
      </c>
      <c r="I255" s="15">
        <f>I256+I257</f>
      </c>
      <c r="J255" s="15">
        <f>J256+J257</f>
      </c>
      <c r="K255" s="15">
        <f>K256+K257</f>
      </c>
      <c r="L255" s="15">
        <f>L256+L257</f>
      </c>
      <c r="M255" s="15">
        <f>M256+M257</f>
      </c>
      <c r="N255" s="15">
        <f>N256+N257</f>
      </c>
      <c r="O255" s="15">
        <f>O256+O257</f>
      </c>
      <c r="P255" s="15">
        <f>IF(SUM(D255:O255)=0,"0",AVERAGEIF(D255:O255,"&lt;&gt;0",D255:O255))</f>
      </c>
      <c r="Q255" s="14"/>
    </row>
    <row customHeight="true" ht="19" r="256">
      <c r="A256" s="15">
        <v>243</v>
      </c>
      <c r="B256" s="15" t="str">
        <v>湖北</v>
      </c>
      <c r="C256" s="16" t="str">
        <v>（1）当月平均购电价格</v>
      </c>
      <c r="D256" s="15">
        <v>0.4423</v>
      </c>
      <c r="E256" s="15">
        <v>0.4052</v>
      </c>
      <c r="F256" s="15">
        <v>0.4399</v>
      </c>
      <c r="G256" s="15">
        <v>0.4267</v>
      </c>
      <c r="H256" s="15">
        <v>0.4389</v>
      </c>
      <c r="I256" s="15">
        <v>0.4165</v>
      </c>
      <c r="J256" s="15">
        <v>0.4054</v>
      </c>
      <c r="K256" s="15">
        <v>0.4067</v>
      </c>
      <c r="L256" s="15">
        <v>0.3972</v>
      </c>
      <c r="M256" s="15">
        <v>0.38792</v>
      </c>
      <c r="N256" s="15">
        <v>0.42046</v>
      </c>
      <c r="O256" s="15">
        <v>0.39285</v>
      </c>
      <c r="P256" s="15">
        <f>IF(SUM(D256:O256)=0,"0",AVERAGEIF(D256:O256,"&lt;&gt;0",D256:O256))</f>
      </c>
      <c r="Q256" s="14"/>
    </row>
    <row customHeight="true" ht="19" r="257">
      <c r="A257" s="15">
        <v>244</v>
      </c>
      <c r="B257" s="15" t="str">
        <v>湖北</v>
      </c>
      <c r="C257" s="16" t="str">
        <v>（2）历史偏差电费折价</v>
      </c>
      <c r="D257" s="15">
        <v>-0.0232</v>
      </c>
      <c r="E257" s="15">
        <v>-0.0275</v>
      </c>
      <c r="F257" s="15">
        <v>-0.0047</v>
      </c>
      <c r="G257" s="15">
        <v>-0.0065</v>
      </c>
      <c r="H257" s="15">
        <v>-0.0234</v>
      </c>
      <c r="I257" s="15">
        <v>-0.0094</v>
      </c>
      <c r="J257" s="15">
        <v>-0.0028</v>
      </c>
      <c r="K257" s="15">
        <v>0.0098</v>
      </c>
      <c r="L257" s="15">
        <v>0.0173</v>
      </c>
      <c r="M257" s="15">
        <v>0.009316</v>
      </c>
      <c r="N257" s="15">
        <v>0.005729</v>
      </c>
      <c r="O257" s="15">
        <v>-0.005856</v>
      </c>
      <c r="P257" s="15">
        <f>IF(SUM(D257:O257)=0,"0",AVERAGEIF(D257:O257,"&lt;&gt;0",D257:O257))</f>
      </c>
      <c r="Q257" s="14"/>
    </row>
    <row customHeight="true" ht="19" r="258">
      <c r="A258" s="15">
        <v>245</v>
      </c>
      <c r="B258" s="15" t="str">
        <v>湖北</v>
      </c>
      <c r="C258" s="16" t="str">
        <v>上网环节线损费用折价</v>
      </c>
      <c r="D258" s="15">
        <v>0.0223</v>
      </c>
      <c r="E258" s="15">
        <v>0.0223</v>
      </c>
      <c r="F258" s="15">
        <v>0.0223</v>
      </c>
      <c r="G258" s="15">
        <v>0.0223</v>
      </c>
      <c r="H258" s="15">
        <v>0.0223</v>
      </c>
      <c r="I258" s="15">
        <v>0.0223</v>
      </c>
      <c r="J258" s="15">
        <v>0.0224</v>
      </c>
      <c r="K258" s="15">
        <v>0.0223</v>
      </c>
      <c r="L258" s="15">
        <v>0.0222</v>
      </c>
      <c r="M258" s="15">
        <v>0.022394</v>
      </c>
      <c r="N258" s="15">
        <v>0.022313</v>
      </c>
      <c r="O258" s="15">
        <v>0.022625</v>
      </c>
      <c r="P258" s="15">
        <f>IF(SUM(D258:O258)=0,"0",AVERAGEIF(D258:O258,"&lt;&gt;0",D258:O258))</f>
      </c>
      <c r="Q258" s="14"/>
    </row>
    <row r="259">
      <c r="A259" s="15">
        <v>246</v>
      </c>
      <c r="B259" s="15" t="str">
        <v>湖北</v>
      </c>
      <c r="C259" s="16" t="str">
        <v>系统运行费用折合度电水平</v>
      </c>
      <c r="D259" s="15">
        <f>SUM(D260:D275)</f>
      </c>
      <c r="E259" s="15">
        <f>SUM(E260:E275)</f>
      </c>
      <c r="F259" s="15">
        <f>SUM(F260:F275)</f>
      </c>
      <c r="G259" s="15">
        <f>SUM(G260:G275)</f>
      </c>
      <c r="H259" s="15">
        <f>SUM(H260:H275)</f>
      </c>
      <c r="I259" s="15">
        <f>SUM(I260:I275)</f>
      </c>
      <c r="J259" s="15">
        <f>SUM(J260:J275)</f>
      </c>
      <c r="K259" s="15">
        <f>SUM(K260:K275)</f>
      </c>
      <c r="L259" s="15">
        <f>SUM(L260:L275)</f>
      </c>
      <c r="M259" s="15">
        <f>SUM(M260:M275)</f>
      </c>
      <c r="N259" s="15">
        <f>SUM(N260:N275)</f>
      </c>
      <c r="O259" s="15">
        <f>SUM(O260:O275)</f>
      </c>
      <c r="P259" s="15">
        <f>IF(SUM(D259:O259)=0,"0",AVERAGEIF(D259:O259,"&lt;&gt;0",D259:O259))</f>
      </c>
      <c r="Q259" s="14"/>
    </row>
    <row customHeight="true" ht="19" r="260">
      <c r="A260" s="15">
        <v>247</v>
      </c>
      <c r="B260" s="15" t="str">
        <v>湖北</v>
      </c>
      <c r="C260" s="16" t="str">
        <v>（1）辅助服务费用折合度电水平</v>
      </c>
      <c r="D260" s="15">
        <v>0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f>IF(SUM(D260:O260)=0,"0",AVERAGEIF(D260:O260,"&lt;&gt;0",D260:O260))</f>
      </c>
      <c r="Q260" s="14"/>
    </row>
    <row customHeight="true" ht="19" r="261">
      <c r="A261" s="15">
        <v>248</v>
      </c>
      <c r="B261" s="15" t="str">
        <v>湖北</v>
      </c>
      <c r="C261" s="16" t="str">
        <v>（2）抽水蓄能容量电费折合度电水平</v>
      </c>
      <c r="D261" s="15">
        <v>0.0028</v>
      </c>
      <c r="E261" s="15">
        <v>0.003</v>
      </c>
      <c r="F261" s="15">
        <v>0.0026</v>
      </c>
      <c r="G261" s="15">
        <v>0.0026</v>
      </c>
      <c r="H261" s="15">
        <v>0.0024</v>
      </c>
      <c r="I261" s="15">
        <v>0.0023</v>
      </c>
      <c r="J261" s="15">
        <v>0.0021</v>
      </c>
      <c r="K261" s="15">
        <v>0.002</v>
      </c>
      <c r="L261" s="15">
        <v>0.0022</v>
      </c>
      <c r="M261" s="15">
        <v>0.002433</v>
      </c>
      <c r="N261" s="15">
        <v>0.002459</v>
      </c>
      <c r="O261" s="15">
        <v>0.002246</v>
      </c>
      <c r="P261" s="15">
        <f>IF(SUM(D261:O261)=0,"0",AVERAGEIF(D261:O261,"&lt;&gt;0",D261:O261))</f>
      </c>
      <c r="Q261" s="14"/>
    </row>
    <row customHeight="true" ht="19" r="262">
      <c r="A262" s="15">
        <v>249</v>
      </c>
      <c r="B262" s="15" t="str">
        <v>湖北</v>
      </c>
      <c r="C262" s="16" t="str">
        <v>（3）上网环节线损代理采购损益折合度电水平</v>
      </c>
      <c r="D262" s="15">
        <v>0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f>IF(SUM(D262:O262)=0,"0",AVERAGEIF(D262:O262,"&lt;&gt;0",D262:O262))</f>
      </c>
      <c r="Q262" s="14"/>
    </row>
    <row customHeight="true" ht="19" r="263">
      <c r="A263" s="15">
        <v>250</v>
      </c>
      <c r="B263" s="15" t="str">
        <v>湖北</v>
      </c>
      <c r="C263" s="16" t="str">
        <v>（4）电价交叉补贴新增损益折合度电水平</v>
      </c>
      <c r="D263" s="15">
        <v>0.0256</v>
      </c>
      <c r="E263" s="15">
        <v>0.0269</v>
      </c>
      <c r="F263" s="15">
        <v>0.0102</v>
      </c>
      <c r="G263" s="15">
        <v>-0.001</v>
      </c>
      <c r="H263" s="15">
        <v>-0.0022</v>
      </c>
      <c r="I263" s="15">
        <v>-0.0035</v>
      </c>
      <c r="J263" s="15">
        <v>0.0051</v>
      </c>
      <c r="K263" s="15">
        <v>0.0053</v>
      </c>
      <c r="L263" s="15">
        <v>0.0021</v>
      </c>
      <c r="M263" s="15">
        <v>0.000609</v>
      </c>
      <c r="N263" s="15">
        <v>-0.001416</v>
      </c>
      <c r="O263" s="15">
        <v>0.003644</v>
      </c>
      <c r="P263" s="15">
        <f>IF(SUM(D263:O263)=0,"0",AVERAGEIF(D263:O263,"&lt;&gt;0",D263:O263))</f>
      </c>
      <c r="Q263" s="14"/>
    </row>
    <row customHeight="true" ht="19" r="264">
      <c r="A264" s="15">
        <v>251</v>
      </c>
      <c r="B264" s="15" t="str">
        <v>湖北</v>
      </c>
      <c r="C264" s="16" t="str">
        <v>（5）煤电容量电费折合度电水平</v>
      </c>
      <c r="D264" s="15">
        <v>0.0209</v>
      </c>
      <c r="E264" s="15">
        <v>0.0301</v>
      </c>
      <c r="F264" s="15">
        <v>0.0226</v>
      </c>
      <c r="G264" s="15">
        <v>0.0253</v>
      </c>
      <c r="H264" s="15">
        <v>0.0217</v>
      </c>
      <c r="I264" s="15">
        <v>0.0209</v>
      </c>
      <c r="J264" s="15">
        <v>0.0183</v>
      </c>
      <c r="K264" s="15">
        <v>0.0179</v>
      </c>
      <c r="L264" s="15">
        <v>0.019</v>
      </c>
      <c r="M264" s="15">
        <v>0.022045</v>
      </c>
      <c r="N264" s="15">
        <v>0.022351</v>
      </c>
      <c r="O264" s="15">
        <v>0.020976</v>
      </c>
      <c r="P264" s="15">
        <f>IF(SUM(D264:O264)=0,"0",AVERAGEIF(D264:O264,"&lt;&gt;0",D264:O264))</f>
      </c>
      <c r="Q264" s="14"/>
    </row>
    <row customHeight="true" ht="19" r="265">
      <c r="A265" s="15">
        <v>252</v>
      </c>
      <c r="B265" s="15" t="str">
        <v>湖北</v>
      </c>
      <c r="C265" s="16" t="str">
        <v>（6）天然气发电容量电费折合度电水平</v>
      </c>
      <c r="D265" s="15">
        <v>0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f>IF(SUM(D265:O265)=0,"0",AVERAGEIF(D265:O265,"&lt;&gt;0",D265:O265))</f>
      </c>
      <c r="Q265" s="14"/>
    </row>
    <row customHeight="true" ht="19" r="266">
      <c r="A266" s="15">
        <v>253</v>
      </c>
      <c r="B266" s="15" t="str">
        <v>湖北</v>
      </c>
      <c r="C266" s="16" t="str">
        <v>（7）水电合约价差损益折合度电水平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f>IF(SUM(D266:O266)=0,"0",AVERAGEIF(D266:O266,"&lt;&gt;0",D266:O266))</f>
      </c>
      <c r="Q266" s="14"/>
    </row>
    <row customHeight="true" ht="19" r="267">
      <c r="A267" s="15">
        <v>254</v>
      </c>
      <c r="B267" s="15" t="str">
        <v>湖北</v>
      </c>
      <c r="C267" s="16" t="str">
        <v>（8）独立储能容量电费折合度电水平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f>IF(SUM(D267:O267)=0,"0",AVERAGEIF(D267:O267,"&lt;&gt;0",D267:O267))</f>
      </c>
      <c r="Q267" s="14"/>
    </row>
    <row customHeight="true" ht="19" r="268">
      <c r="A268" s="15">
        <v>255</v>
      </c>
      <c r="B268" s="15" t="str">
        <v>湖北</v>
      </c>
      <c r="C268" s="16" t="str">
        <v>（9）工商业峰谷分时损益折合度电水平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f>IF(SUM(D268:O268)=0,"0",AVERAGEIF(D268:O268,"&lt;&gt;0",D268:O268))</f>
      </c>
      <c r="Q268" s="14"/>
    </row>
    <row customHeight="true" ht="19" r="269">
      <c r="A269" s="15">
        <v>256</v>
      </c>
      <c r="B269" s="15" t="str">
        <v>湖北</v>
      </c>
      <c r="C269" s="16" t="str">
        <v>（10）功率因数调整电费损益折合度电水平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f>IF(SUM(D269:O269)=0,"0",AVERAGEIF(D269:O269,"&lt;&gt;0",D269:O269))</f>
      </c>
      <c r="Q269" s="14"/>
    </row>
    <row customHeight="true" ht="19" r="270">
      <c r="A270" s="15">
        <v>257</v>
      </c>
      <c r="B270" s="15" t="str">
        <v>湖北</v>
      </c>
      <c r="C270" s="16" t="str">
        <v>（11）新能源可持续发展价格结算机制差价结算费用折合度电水平</v>
      </c>
      <c r="D270" s="15">
        <v>0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0.016472</v>
      </c>
      <c r="P270" s="15">
        <f>IF(SUM(D270:O270)=0,"0",AVERAGEIF(D270:O270,"&lt;&gt;0",D270:O270))</f>
      </c>
      <c r="Q270" s="14"/>
    </row>
    <row customHeight="true" ht="19" r="271">
      <c r="A271" s="15">
        <v>258</v>
      </c>
      <c r="B271" s="15" t="str">
        <v>湖北</v>
      </c>
      <c r="C271" s="16" t="str">
        <v>（12）趸售电价损益折合度电水平</v>
      </c>
      <c r="D271" s="15">
        <v>0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f>IF(SUM(D271:O271)=0,"0",AVERAGEIF(D271:O271,"&lt;&gt;0",D271:O271))</f>
      </c>
      <c r="Q271" s="14"/>
    </row>
    <row customHeight="true" ht="19" r="272">
      <c r="A272" s="15">
        <v>258</v>
      </c>
      <c r="B272" s="15" t="str">
        <v>湖北</v>
      </c>
      <c r="C272" s="39" t="str">
        <v>（13）代理购电价格新增损益折合度电水平</v>
      </c>
      <c r="D272" s="15">
        <v>0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f>IF(SUM(D272:O272)=0,"0",AVERAGEIF(D272:O272,"&lt;&gt;0",D272:O272))</f>
      </c>
      <c r="Q272" s="14"/>
    </row>
    <row customHeight="true" ht="19" r="273">
      <c r="A273" s="15">
        <v>259</v>
      </c>
      <c r="B273" s="15" t="str">
        <v>湖北</v>
      </c>
      <c r="C273" s="39" t="str">
        <v>（14）跨省跨区应急调度价差损益折合度电水平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f>IF(SUM(D273:O273)=0,"0",AVERAGEIF(D273:O273,"&lt;&gt;0",D273:O273))</f>
      </c>
      <c r="Q273" s="14"/>
    </row>
    <row customHeight="true" ht="19" r="274">
      <c r="A274" s="15">
        <v>260</v>
      </c>
      <c r="B274" s="15" t="str">
        <v>湖北</v>
      </c>
      <c r="C274" s="39" t="str">
        <v>（15）剩余优先发电价差损益度电水平</v>
      </c>
      <c r="D274" s="15">
        <v>0.0119</v>
      </c>
      <c r="E274" s="15">
        <v>0.0198</v>
      </c>
      <c r="F274" s="15">
        <v>0</v>
      </c>
      <c r="G274" s="15">
        <v>0</v>
      </c>
      <c r="H274" s="15">
        <v>-0.0028</v>
      </c>
      <c r="I274" s="15">
        <v>-0.0015</v>
      </c>
      <c r="J274" s="15">
        <v>0.013</v>
      </c>
      <c r="K274" s="15">
        <v>0.0156</v>
      </c>
      <c r="L274" s="15">
        <v>0.0099</v>
      </c>
      <c r="M274" s="15">
        <v>0.018466</v>
      </c>
      <c r="N274" s="15">
        <v>0.006795</v>
      </c>
      <c r="O274" s="15">
        <v>0.015068</v>
      </c>
      <c r="P274" s="15">
        <f>IF(SUM(D274:O274)=0,"0",AVERAGEIF(D274:O274,"&lt;&gt;0",D274:O274))</f>
      </c>
      <c r="Q274" s="14"/>
    </row>
    <row customHeight="true" ht="19" r="275">
      <c r="A275" s="15">
        <v>261</v>
      </c>
      <c r="B275" s="15" t="str">
        <v>湖北</v>
      </c>
      <c r="C275" s="39" t="str">
        <v>（16）其他费用折合度电水平</v>
      </c>
      <c r="D275" s="15">
        <v>0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f>IF(SUM(D275:O275)=0,"0",AVERAGEIF(D275:O275,"&lt;&gt;0",D275:O275))</f>
      </c>
      <c r="Q275" s="14"/>
    </row>
    <row r="276">
      <c r="A276" s="15">
        <v>262</v>
      </c>
      <c r="B276" s="30" t="str">
        <v>河南</v>
      </c>
      <c r="C276" s="27" t="str">
        <v>代理工商业购电价格</v>
      </c>
      <c r="D276" s="30">
        <f>D277+D278</f>
      </c>
      <c r="E276" s="30">
        <f>E277+E278</f>
      </c>
      <c r="F276" s="30">
        <f>F277+F278</f>
      </c>
      <c r="G276" s="30">
        <f>G277+G278</f>
      </c>
      <c r="H276" s="30">
        <f>H277+H278</f>
      </c>
      <c r="I276" s="30">
        <f>I277+I278</f>
      </c>
      <c r="J276" s="30">
        <f>J277+J278</f>
      </c>
      <c r="K276" s="30">
        <f>K277+K278</f>
      </c>
      <c r="L276" s="30">
        <f>L277+L278</f>
      </c>
      <c r="M276" s="30">
        <f>M277+M278</f>
      </c>
      <c r="N276" s="30">
        <f>N277+N278</f>
      </c>
      <c r="O276" s="30">
        <f>O277+O278</f>
      </c>
      <c r="P276" s="30">
        <f>IF(SUM(D276:O276)=0,"0",AVERAGEIF(D276:O276,"&lt;&gt;0",D276:O276))</f>
      </c>
      <c r="Q276" s="29"/>
    </row>
    <row customHeight="true" ht="19" r="277">
      <c r="A277" s="15">
        <v>263</v>
      </c>
      <c r="B277" s="30" t="str">
        <v>河南</v>
      </c>
      <c r="C277" s="27" t="str">
        <v>（1）当月平均购电价格</v>
      </c>
      <c r="D277" s="30">
        <v>0.405558</v>
      </c>
      <c r="E277" s="30">
        <v>0.40517</v>
      </c>
      <c r="F277" s="30">
        <v>0.405127</v>
      </c>
      <c r="G277" s="30">
        <v>0.405129</v>
      </c>
      <c r="H277" s="30">
        <v>0.405231</v>
      </c>
      <c r="I277" s="30">
        <v>0.405094</v>
      </c>
      <c r="J277" s="30">
        <v>0.405266</v>
      </c>
      <c r="K277" s="30">
        <v>0.405339</v>
      </c>
      <c r="L277" s="30">
        <v>0.405102</v>
      </c>
      <c r="M277" s="30">
        <v>0.4054</v>
      </c>
      <c r="N277" s="30">
        <v>0.3774</v>
      </c>
      <c r="O277" s="30">
        <v>0.398724</v>
      </c>
      <c r="P277" s="30">
        <f>IF(SUM(D277:O277)=0,"0",AVERAGEIF(D277:O277,"&lt;&gt;0",D277:O277))</f>
      </c>
      <c r="Q277" s="29"/>
    </row>
    <row customHeight="true" ht="19" r="278">
      <c r="A278" s="15">
        <v>264</v>
      </c>
      <c r="B278" s="30" t="str">
        <v>河南</v>
      </c>
      <c r="C278" s="27" t="str">
        <v>（2）历史偏差电费折价</v>
      </c>
      <c r="D278" s="30">
        <v>-0.00039</v>
      </c>
      <c r="E278" s="30">
        <v>0</v>
      </c>
      <c r="F278" s="30">
        <v>0.004467</v>
      </c>
      <c r="G278" s="30">
        <v>0.000577</v>
      </c>
      <c r="H278" s="30">
        <v>0</v>
      </c>
      <c r="I278" s="30">
        <v>0</v>
      </c>
      <c r="J278" s="30">
        <v>0</v>
      </c>
      <c r="K278" s="30">
        <v>0.002075</v>
      </c>
      <c r="L278" s="30">
        <v>0</v>
      </c>
      <c r="M278" s="30">
        <v>0</v>
      </c>
      <c r="N278" s="30">
        <v>0</v>
      </c>
      <c r="O278" s="30">
        <v>0</v>
      </c>
      <c r="P278" s="30">
        <f>IF(SUM(D278:O278)=0,"0",AVERAGEIF(D278:O278,"&lt;&gt;0",D278:O278))</f>
      </c>
      <c r="Q278" s="29"/>
    </row>
    <row customHeight="true" ht="19" r="279">
      <c r="A279" s="15">
        <v>265</v>
      </c>
      <c r="B279" s="30" t="str">
        <v>河南</v>
      </c>
      <c r="C279" s="27" t="str">
        <v>上网环节线损费用折价</v>
      </c>
      <c r="D279" s="30">
        <v>0.018609</v>
      </c>
      <c r="E279" s="30">
        <v>0.018542</v>
      </c>
      <c r="F279" s="30">
        <v>0.018367</v>
      </c>
      <c r="G279" s="30">
        <v>0.018156</v>
      </c>
      <c r="H279" s="30">
        <v>0.018262</v>
      </c>
      <c r="I279" s="30">
        <v>0.018427</v>
      </c>
      <c r="J279" s="30">
        <v>0.018506</v>
      </c>
      <c r="K279" s="30">
        <v>0.018573</v>
      </c>
      <c r="L279" s="30">
        <v>0.018413</v>
      </c>
      <c r="M279" s="30">
        <v>0.018119</v>
      </c>
      <c r="N279" s="30">
        <v>0.017375</v>
      </c>
      <c r="O279" s="30">
        <v>0.018158</v>
      </c>
      <c r="P279" s="30">
        <f>IF(SUM(D279:O279)=0,"0",AVERAGEIF(D279:O279,"&lt;&gt;0",D279:O279))</f>
      </c>
      <c r="Q279" s="29"/>
    </row>
    <row r="280">
      <c r="A280" s="15">
        <v>266</v>
      </c>
      <c r="B280" s="30" t="str">
        <v>河南</v>
      </c>
      <c r="C280" s="27" t="str">
        <v>系统运行费用折合度电水平</v>
      </c>
      <c r="D280" s="30">
        <f>SUM(D281:D296)</f>
      </c>
      <c r="E280" s="30">
        <f>SUM(E281:E296)</f>
      </c>
      <c r="F280" s="30">
        <f>SUM(F281:F296)</f>
      </c>
      <c r="G280" s="30">
        <f>SUM(G281:G296)</f>
      </c>
      <c r="H280" s="30">
        <f>SUM(H281:H296)</f>
      </c>
      <c r="I280" s="30">
        <f>SUM(I281:I296)</f>
      </c>
      <c r="J280" s="30">
        <f>SUM(J281:J296)</f>
      </c>
      <c r="K280" s="30">
        <f>SUM(K281:K296)</f>
      </c>
      <c r="L280" s="30">
        <f>SUM(L281:L296)</f>
      </c>
      <c r="M280" s="30">
        <f>SUM(M281:M296)</f>
      </c>
      <c r="N280" s="30">
        <f>SUM(N281:N296)</f>
      </c>
      <c r="O280" s="30">
        <f>SUM(O281:O296)</f>
      </c>
      <c r="P280" s="30">
        <f>IF(SUM(D280:O280)=0,"0",AVERAGEIF(D280:O280,"&lt;&gt;0",D280:O280))</f>
      </c>
      <c r="Q280" s="29"/>
    </row>
    <row customHeight="true" ht="19" r="281">
      <c r="A281" s="15">
        <v>267</v>
      </c>
      <c r="B281" s="30" t="str">
        <v>河南</v>
      </c>
      <c r="C281" s="27" t="str">
        <v>（1）辅助服务费用折合度电水平</v>
      </c>
      <c r="D281" s="30">
        <v>0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f>IF(SUM(D281:O281)=0,"0",AVERAGEIF(D281:O281,"&lt;&gt;0",D281:O281))</f>
      </c>
      <c r="Q281" s="29"/>
    </row>
    <row customHeight="true" ht="19" r="282">
      <c r="A282" s="15">
        <v>268</v>
      </c>
      <c r="B282" s="30" t="str">
        <v>河南</v>
      </c>
      <c r="C282" s="27" t="str">
        <v>（2）抽水蓄能容量电费折合度电水平</v>
      </c>
      <c r="D282" s="30">
        <v>0.004994</v>
      </c>
      <c r="E282" s="30">
        <v>0.004994</v>
      </c>
      <c r="F282" s="30">
        <v>0.004994</v>
      </c>
      <c r="G282" s="30">
        <v>0.004994</v>
      </c>
      <c r="H282" s="30">
        <v>0.004994</v>
      </c>
      <c r="I282" s="30">
        <v>0.004994</v>
      </c>
      <c r="J282" s="30">
        <v>0.004994</v>
      </c>
      <c r="K282" s="30">
        <v>0.004994</v>
      </c>
      <c r="L282" s="30">
        <v>0.004994</v>
      </c>
      <c r="M282" s="30">
        <v>0.004994</v>
      </c>
      <c r="N282" s="30">
        <v>0.004994</v>
      </c>
      <c r="O282" s="30">
        <v>0.004994</v>
      </c>
      <c r="P282" s="30">
        <f>IF(SUM(D282:O282)=0,"0",AVERAGEIF(D282:O282,"&lt;&gt;0",D282:O282))</f>
      </c>
      <c r="Q282" s="29"/>
    </row>
    <row customHeight="true" ht="19" r="283">
      <c r="A283" s="15">
        <v>269</v>
      </c>
      <c r="B283" s="30" t="str">
        <v>河南</v>
      </c>
      <c r="C283" s="27" t="str">
        <v>（3）上网环节线损代理采购损益折合度电水平</v>
      </c>
      <c r="D283" s="30">
        <v>0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f>IF(SUM(D283:O283)=0,"0",AVERAGEIF(D283:O283,"&lt;&gt;0",D283:O283))</f>
      </c>
      <c r="Q283" s="29"/>
    </row>
    <row customHeight="true" ht="19" r="284">
      <c r="A284" s="15">
        <v>270</v>
      </c>
      <c r="B284" s="30" t="str">
        <v>河南</v>
      </c>
      <c r="C284" s="27" t="str">
        <v>（4）电价交叉补贴新增损益折合度电水平</v>
      </c>
      <c r="D284" s="30">
        <v>0.011193</v>
      </c>
      <c r="E284" s="30">
        <v>0.014022</v>
      </c>
      <c r="F284" s="30">
        <v>0.036816</v>
      </c>
      <c r="G284" s="30">
        <v>0.012307</v>
      </c>
      <c r="H284" s="30">
        <v>0.019278</v>
      </c>
      <c r="I284" s="30">
        <v>0.017539</v>
      </c>
      <c r="J284" s="30">
        <v>0.019929</v>
      </c>
      <c r="K284" s="30">
        <v>0.01904</v>
      </c>
      <c r="L284" s="30">
        <v>-0.002453</v>
      </c>
      <c r="M284" s="30">
        <v>-0.001223</v>
      </c>
      <c r="N284" s="30">
        <v>-0.004278</v>
      </c>
      <c r="O284" s="30">
        <v>0.031349</v>
      </c>
      <c r="P284" s="30">
        <f>IF(SUM(D284:O284)=0,"0",AVERAGEIF(D284:O284,"&lt;&gt;0",D284:O284))</f>
      </c>
      <c r="Q284" s="29"/>
    </row>
    <row customHeight="true" ht="19" r="285">
      <c r="A285" s="15">
        <v>271</v>
      </c>
      <c r="B285" s="30" t="str">
        <v>河南</v>
      </c>
      <c r="C285" s="27" t="str">
        <v>（5）煤电容量电费折合度电水平</v>
      </c>
      <c r="D285" s="30">
        <v>0.041987</v>
      </c>
      <c r="E285" s="30">
        <v>0.047753</v>
      </c>
      <c r="F285" s="30">
        <v>0.041906</v>
      </c>
      <c r="G285" s="30">
        <v>0.045424</v>
      </c>
      <c r="H285" s="30">
        <v>0.041818</v>
      </c>
      <c r="I285" s="30">
        <v>0.040138</v>
      </c>
      <c r="J285" s="30">
        <v>0.036289</v>
      </c>
      <c r="K285" s="30">
        <v>0.036108</v>
      </c>
      <c r="L285" s="30">
        <v>0.040307</v>
      </c>
      <c r="M285" s="30">
        <v>0.044329</v>
      </c>
      <c r="N285" s="30">
        <v>0.043062</v>
      </c>
      <c r="O285" s="30">
        <v>0.038504</v>
      </c>
      <c r="P285" s="30">
        <f>IF(SUM(D285:O285)=0,"0",AVERAGEIF(D285:O285,"&lt;&gt;0",D285:O285))</f>
      </c>
      <c r="Q285" s="29"/>
    </row>
    <row customHeight="true" ht="19" r="286">
      <c r="A286" s="15">
        <v>272</v>
      </c>
      <c r="B286" s="30" t="str">
        <v>河南</v>
      </c>
      <c r="C286" s="27" t="str">
        <v>（6）天然气发电容量电费折合度电水平</v>
      </c>
      <c r="D286" s="30">
        <v>0.00623</v>
      </c>
      <c r="E286" s="30">
        <v>0.007083</v>
      </c>
      <c r="F286" s="30">
        <v>0.006192</v>
      </c>
      <c r="G286" s="30">
        <v>0.006699</v>
      </c>
      <c r="H286" s="30">
        <v>0.006166</v>
      </c>
      <c r="I286" s="30">
        <v>0.005904</v>
      </c>
      <c r="J286" s="30">
        <v>0.005377</v>
      </c>
      <c r="K286" s="30">
        <v>0.00535</v>
      </c>
      <c r="L286" s="30">
        <v>0.005955</v>
      </c>
      <c r="M286" s="30">
        <v>0.006549</v>
      </c>
      <c r="N286" s="30">
        <v>0.006362</v>
      </c>
      <c r="O286" s="30">
        <v>0.005689</v>
      </c>
      <c r="P286" s="30">
        <f>IF(SUM(D286:O286)=0,"0",AVERAGEIF(D286:O286,"&lt;&gt;0",D286:O286))</f>
      </c>
      <c r="Q286" s="29"/>
    </row>
    <row customHeight="true" ht="19" r="287">
      <c r="A287" s="15">
        <v>273</v>
      </c>
      <c r="B287" s="30" t="str">
        <v>河南</v>
      </c>
      <c r="C287" s="27" t="str">
        <v>（7）水电合约价差损益折合度电水平</v>
      </c>
      <c r="D287" s="30">
        <v>0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f>IF(SUM(D287:O287)=0,"0",AVERAGEIF(D287:O287,"&lt;&gt;0",D287:O287))</f>
      </c>
      <c r="Q287" s="29"/>
    </row>
    <row customHeight="true" ht="19" r="288">
      <c r="A288" s="15">
        <v>274</v>
      </c>
      <c r="B288" s="30" t="str">
        <v>河南</v>
      </c>
      <c r="C288" s="27" t="str">
        <v>（8）独立储能容量电费折合度电水平</v>
      </c>
      <c r="D288" s="30">
        <v>0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f>IF(SUM(D288:O288)=0,"0",AVERAGEIF(D288:O288,"&lt;&gt;0",D288:O288))</f>
      </c>
      <c r="Q288" s="29"/>
    </row>
    <row customHeight="true" ht="19" r="289">
      <c r="A289" s="15">
        <v>275</v>
      </c>
      <c r="B289" s="30" t="str">
        <v>河南</v>
      </c>
      <c r="C289" s="27" t="str">
        <v>（9）工商业峰谷分时损益折合度电水平</v>
      </c>
      <c r="D289" s="30">
        <v>0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f>IF(SUM(D289:O289)=0,"0",AVERAGEIF(D289:O289,"&lt;&gt;0",D289:O289))</f>
      </c>
      <c r="Q289" s="29"/>
    </row>
    <row customHeight="true" ht="19" r="290">
      <c r="A290" s="15">
        <v>276</v>
      </c>
      <c r="B290" s="30" t="str">
        <v>河南</v>
      </c>
      <c r="C290" s="27" t="str">
        <v>（10）功率因数调整电费损益折合度电水平</v>
      </c>
      <c r="D290" s="30">
        <v>0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f>IF(SUM(D290:O290)=0,"0",AVERAGEIF(D290:O290,"&lt;&gt;0",D290:O290))</f>
      </c>
      <c r="Q290" s="29"/>
    </row>
    <row customHeight="true" ht="19" r="291">
      <c r="A291" s="15">
        <v>277</v>
      </c>
      <c r="B291" s="30" t="str">
        <v>河南</v>
      </c>
      <c r="C291" s="27" t="str">
        <v>（11）新能源可持续发展价格结算机制差价结算费用折合度电水平</v>
      </c>
      <c r="D291" s="30">
        <v>0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f>IF(SUM(D291:O291)=0,"0",AVERAGEIF(D291:O291,"&lt;&gt;0",D291:O291))</f>
      </c>
      <c r="Q291" s="29"/>
    </row>
    <row customHeight="true" ht="19" r="292">
      <c r="A292" s="15">
        <v>278</v>
      </c>
      <c r="B292" s="30" t="str">
        <v>河南</v>
      </c>
      <c r="C292" s="27" t="str">
        <v>（12）趸售电价损益折合度电水平</v>
      </c>
      <c r="D292" s="30">
        <v>0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f>IF(SUM(D292:O292)=0,"0",AVERAGEIF(D292:O292,"&lt;&gt;0",D292:O292))</f>
      </c>
      <c r="Q292" s="29"/>
    </row>
    <row customHeight="true" ht="19" r="293">
      <c r="A293" s="15">
        <v>279</v>
      </c>
      <c r="B293" s="30" t="str">
        <v>河南</v>
      </c>
      <c r="C293" s="27" t="str">
        <v>（13）代理购电价格新增损益折合度电水平</v>
      </c>
      <c r="D293" s="30">
        <v>0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f>IF(SUM(D293:O293)=0,"0",AVERAGEIF(D293:O293,"&lt;&gt;0",D293:O293))</f>
      </c>
      <c r="Q293" s="29"/>
    </row>
    <row customHeight="true" ht="19" r="294">
      <c r="A294" s="15">
        <v>279</v>
      </c>
      <c r="B294" s="30" t="str">
        <v>河南</v>
      </c>
      <c r="C294" s="27" t="str">
        <v>（14）跨省跨区应急调度价差损益折合度电水平</v>
      </c>
      <c r="D294" s="30">
        <v>0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f>IF(SUM(D294:O294)=0,"0",AVERAGEIF(D294:O294,"&lt;&gt;0",D294:O294))</f>
      </c>
      <c r="Q294" s="29"/>
    </row>
    <row customHeight="true" ht="19" r="295">
      <c r="A295" s="15">
        <v>280</v>
      </c>
      <c r="B295" s="30" t="str">
        <v>河南</v>
      </c>
      <c r="C295" s="27" t="str">
        <v>（15）剩余优先发电价差损益度电水平</v>
      </c>
      <c r="D295" s="30">
        <v>0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f>IF(SUM(D295:O295)=0,"0",AVERAGEIF(D295:O295,"&lt;&gt;0",D295:O295))</f>
      </c>
      <c r="Q295" s="29"/>
    </row>
    <row customHeight="true" ht="19" r="296">
      <c r="A296" s="15">
        <v>281</v>
      </c>
      <c r="B296" s="30" t="str">
        <v>河南</v>
      </c>
      <c r="C296" s="27" t="str">
        <v>（16）其他费用折合度电水平</v>
      </c>
      <c r="D296" s="30">
        <v>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f>IF(SUM(D296:O296)=0,"0",AVERAGEIF(D296:O296,"&lt;&gt;0",D296:O296))</f>
      </c>
      <c r="Q296" s="29"/>
    </row>
    <row r="297">
      <c r="A297" s="15">
        <v>282</v>
      </c>
      <c r="B297" s="15" t="str">
        <v>湖南</v>
      </c>
      <c r="C297" s="16" t="str">
        <v>代理工商业购电价格</v>
      </c>
      <c r="D297" s="15">
        <f>D298+D299+D300</f>
      </c>
      <c r="E297" s="15">
        <f>E298+E299+E300</f>
      </c>
      <c r="F297" s="15">
        <f>F298+F299+F300</f>
      </c>
      <c r="G297" s="15">
        <f>G298+G299+G300</f>
      </c>
      <c r="H297" s="15">
        <f>H298+H299+H300</f>
      </c>
      <c r="I297" s="15">
        <f>I298+I299+I300</f>
      </c>
      <c r="J297" s="15">
        <f>J298+J299+J300</f>
      </c>
      <c r="K297" s="15">
        <f>K298+K299+K300</f>
      </c>
      <c r="L297" s="15">
        <f>L298+L299+L300</f>
      </c>
      <c r="M297" s="15">
        <f>M298+M299+M300</f>
      </c>
      <c r="N297" s="15">
        <f>N298+N299+N300</f>
      </c>
      <c r="O297" s="15">
        <f>O298+O299+O300</f>
      </c>
      <c r="P297" s="15">
        <f>IF(SUM(D297:O297)=0,"0",AVERAGEIF(D297:O297,"&lt;&gt;0",D297:O297))</f>
      </c>
      <c r="Q297" s="14"/>
    </row>
    <row customHeight="true" ht="19" r="298">
      <c r="A298" s="15">
        <v>283</v>
      </c>
      <c r="B298" s="15" t="str">
        <v>湖南</v>
      </c>
      <c r="C298" s="16" t="str">
        <v>（1）当月平均购电价格</v>
      </c>
      <c r="D298" s="15">
        <v>0.47976</v>
      </c>
      <c r="E298" s="15">
        <v>0.47369</v>
      </c>
      <c r="F298" s="15">
        <v>0.47174</v>
      </c>
      <c r="G298" s="15">
        <v>0.46477</v>
      </c>
      <c r="H298" s="15">
        <v>0.46697</v>
      </c>
      <c r="I298" s="15">
        <v>0.46477</v>
      </c>
      <c r="J298" s="15">
        <v>0.47049</v>
      </c>
      <c r="K298" s="15">
        <v>0.44586</v>
      </c>
      <c r="L298" s="15">
        <v>0.4571</v>
      </c>
      <c r="M298" s="15">
        <v>0.452783</v>
      </c>
      <c r="N298" s="15">
        <v>0.405391</v>
      </c>
      <c r="O298" s="15">
        <v>0.438089</v>
      </c>
      <c r="P298" s="15">
        <f>IF(SUM(D298:O298)=0,"0",AVERAGEIF(D298:O298,"&lt;&gt;0",D298:O298))</f>
      </c>
      <c r="Q298" s="14"/>
    </row>
    <row customHeight="true" ht="19" r="299">
      <c r="A299" s="15">
        <v>284</v>
      </c>
      <c r="B299" s="15" t="str">
        <v>湖南</v>
      </c>
      <c r="C299" s="16" t="str">
        <v>（2）历史偏差电费折价</v>
      </c>
      <c r="D299" s="15">
        <v>0</v>
      </c>
      <c r="E299" s="15">
        <v>0</v>
      </c>
      <c r="F299" s="15">
        <v>0.00031</v>
      </c>
      <c r="G299" s="15">
        <v>-0.00989</v>
      </c>
      <c r="H299" s="15">
        <v>-0.00143</v>
      </c>
      <c r="I299" s="15">
        <v>0.00709</v>
      </c>
      <c r="J299" s="15">
        <v>0.00005</v>
      </c>
      <c r="K299" s="15">
        <v>-0.00604</v>
      </c>
      <c r="L299" s="15">
        <v>0.00079</v>
      </c>
      <c r="M299" s="15">
        <v>-0.0042</v>
      </c>
      <c r="N299" s="15">
        <v>-0.016003</v>
      </c>
      <c r="O299" s="15">
        <v>0.004598</v>
      </c>
      <c r="P299" s="15">
        <f>IF(SUM(D299:O299)=0,"0",AVERAGEIF(D299:O299,"&lt;&gt;0",D299:O299))</f>
      </c>
      <c r="Q299" s="14"/>
    </row>
    <row customHeight="true" ht="19" r="300">
      <c r="A300" s="15">
        <v>285</v>
      </c>
      <c r="B300" s="15" t="str">
        <v>湖南</v>
      </c>
      <c r="C300" s="16" t="str">
        <v>（3）购售价差资金折价</v>
      </c>
      <c r="D300" s="15">
        <v>0.0011</v>
      </c>
      <c r="E300" s="15">
        <v>-0.0044</v>
      </c>
      <c r="F300" s="15">
        <v>-0.01608</v>
      </c>
      <c r="G300" s="15">
        <v>-0.02281</v>
      </c>
      <c r="H300" s="15">
        <v>-0.02607</v>
      </c>
      <c r="I300" s="15">
        <v>-0.00582</v>
      </c>
      <c r="J300" s="15">
        <v>-0.00515</v>
      </c>
      <c r="K300" s="15">
        <v>-0.02908</v>
      </c>
      <c r="L300" s="15">
        <v>-0.02122</v>
      </c>
      <c r="M300" s="15">
        <v>0.055394</v>
      </c>
      <c r="N300" s="15">
        <v>0.017926</v>
      </c>
      <c r="O300" s="15">
        <v>-0.003756</v>
      </c>
      <c r="P300" s="15">
        <f>IF(SUM(D300:O300)=0,"0",AVERAGEIF(D300:O300,"&lt;&gt;0",D300:O300))</f>
      </c>
      <c r="Q300" s="14"/>
    </row>
    <row customHeight="true" ht="19" r="301">
      <c r="A301" s="15">
        <v>286</v>
      </c>
      <c r="B301" s="15" t="str">
        <v>湖南</v>
      </c>
      <c r="C301" s="16" t="str">
        <v>上网环节线损费用折价</v>
      </c>
      <c r="D301" s="15">
        <v>0.0283</v>
      </c>
      <c r="E301" s="15">
        <v>0.02794</v>
      </c>
      <c r="F301" s="15">
        <v>0.02783</v>
      </c>
      <c r="G301" s="15">
        <v>0.02741</v>
      </c>
      <c r="H301" s="15">
        <v>0.02754</v>
      </c>
      <c r="I301" s="15">
        <v>0.02741</v>
      </c>
      <c r="J301" s="15">
        <v>0.02775</v>
      </c>
      <c r="K301" s="15">
        <v>0.0263</v>
      </c>
      <c r="L301" s="15">
        <v>0.02696</v>
      </c>
      <c r="M301" s="15">
        <v>0.026708</v>
      </c>
      <c r="N301" s="15">
        <v>0.023912</v>
      </c>
      <c r="O301" s="15">
        <v>0.025841</v>
      </c>
      <c r="P301" s="15">
        <f>IF(SUM(D301:O301)=0,"0",AVERAGEIF(D301:O301,"&lt;&gt;0",D301:O301))</f>
      </c>
      <c r="Q301" s="14"/>
    </row>
    <row r="302">
      <c r="A302" s="15">
        <v>287</v>
      </c>
      <c r="B302" s="15" t="str">
        <v>湖南</v>
      </c>
      <c r="C302" s="16" t="str">
        <v>系统运行费用折合度电水平</v>
      </c>
      <c r="D302" s="15">
        <f>SUM(D303:D318)</f>
      </c>
      <c r="E302" s="15">
        <f>SUM(E303:E318)</f>
      </c>
      <c r="F302" s="15">
        <f>SUM(F303:F318)</f>
      </c>
      <c r="G302" s="15">
        <f>SUM(G303:G318)</f>
      </c>
      <c r="H302" s="15">
        <f>SUM(H303:H318)</f>
      </c>
      <c r="I302" s="15">
        <f>SUM(I303:I318)</f>
      </c>
      <c r="J302" s="15">
        <f>SUM(J303:J318)</f>
      </c>
      <c r="K302" s="15">
        <f>SUM(K303:K318)</f>
      </c>
      <c r="L302" s="15">
        <f>SUM(L303:L318)</f>
      </c>
      <c r="M302" s="15">
        <f>SUM(M303:M318)</f>
      </c>
      <c r="N302" s="15">
        <f>SUM(N303:N318)</f>
      </c>
      <c r="O302" s="15">
        <f>SUM(O303:O318)</f>
      </c>
      <c r="P302" s="15">
        <f>IF(SUM(D302:O302)=0,"0",AVERAGEIF(D302:O302,"&lt;&gt;0",D302:O302))</f>
      </c>
      <c r="Q302" s="14"/>
    </row>
    <row customHeight="true" ht="19" r="303">
      <c r="A303" s="15">
        <v>288</v>
      </c>
      <c r="B303" s="15" t="str">
        <v>湖南</v>
      </c>
      <c r="C303" s="16" t="str">
        <v>（1）辅助服务费用折合度电水平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f>IF(SUM(D303:O303)=0,"0",AVERAGEIF(D303:O303,"&lt;&gt;0",D303:O303))</f>
      </c>
      <c r="Q303" s="14"/>
    </row>
    <row customHeight="true" ht="19" r="304">
      <c r="A304" s="15">
        <v>289</v>
      </c>
      <c r="B304" s="15" t="str">
        <v>湖南</v>
      </c>
      <c r="C304" s="16" t="str">
        <v>（2）抽水蓄能容量电费折合度电水平</v>
      </c>
      <c r="D304" s="15">
        <v>0.00397</v>
      </c>
      <c r="E304" s="15">
        <v>0.00438</v>
      </c>
      <c r="F304" s="15">
        <v>0.00386</v>
      </c>
      <c r="G304" s="15">
        <v>0.00398</v>
      </c>
      <c r="H304" s="15">
        <v>0.00361</v>
      </c>
      <c r="I304" s="15">
        <v>0.00362</v>
      </c>
      <c r="J304" s="15">
        <v>0.00298</v>
      </c>
      <c r="K304" s="15">
        <v>0.00302</v>
      </c>
      <c r="L304" s="15">
        <v>0.00346</v>
      </c>
      <c r="M304" s="15">
        <v>0.004094</v>
      </c>
      <c r="N304" s="15">
        <v>0.003718</v>
      </c>
      <c r="O304" s="15">
        <v>0.002884</v>
      </c>
      <c r="P304" s="15">
        <f>IF(SUM(D304:O304)=0,"0",AVERAGEIF(D304:O304,"&lt;&gt;0",D304:O304))</f>
      </c>
      <c r="Q304" s="14"/>
    </row>
    <row customHeight="true" ht="19" r="305">
      <c r="A305" s="15">
        <v>290</v>
      </c>
      <c r="B305" s="15" t="str">
        <v>湖南</v>
      </c>
      <c r="C305" s="16" t="str">
        <v>（3）上网环节线损代理采购损益折合度电水平</v>
      </c>
      <c r="D305" s="15">
        <v>-0.009</v>
      </c>
      <c r="E305" s="15">
        <v>-0.01066</v>
      </c>
      <c r="F305" s="15">
        <v>-0.02475</v>
      </c>
      <c r="G305" s="15">
        <v>0.01438</v>
      </c>
      <c r="H305" s="15">
        <v>0.01053</v>
      </c>
      <c r="I305" s="15">
        <v>-0.04346</v>
      </c>
      <c r="J305" s="15">
        <v>-0.00934</v>
      </c>
      <c r="K305" s="15">
        <v>0.01407</v>
      </c>
      <c r="L305" s="15">
        <v>-0.01469</v>
      </c>
      <c r="M305" s="15">
        <v>-0.062231</v>
      </c>
      <c r="N305" s="15">
        <v>-0.005262</v>
      </c>
      <c r="O305" s="15">
        <v>0.005722</v>
      </c>
      <c r="P305" s="15">
        <f>IF(SUM(D305:O305)=0,"0",AVERAGEIF(D305:O305,"&lt;&gt;0",D305:O305))</f>
      </c>
      <c r="Q305" s="14"/>
    </row>
    <row customHeight="true" ht="19" r="306">
      <c r="A306" s="15">
        <v>291</v>
      </c>
      <c r="B306" s="15" t="str">
        <v>湖南</v>
      </c>
      <c r="C306" s="16" t="str">
        <v>（4）电价交叉补贴新增损益折合度电水平</v>
      </c>
      <c r="D306" s="15">
        <v>0.02306</v>
      </c>
      <c r="E306" s="15">
        <v>0.00711</v>
      </c>
      <c r="F306" s="15">
        <v>-0.01442</v>
      </c>
      <c r="G306" s="15">
        <v>-0.00111</v>
      </c>
      <c r="H306" s="15">
        <v>-0.01874</v>
      </c>
      <c r="I306" s="15">
        <v>-0.01561</v>
      </c>
      <c r="J306" s="15">
        <v>0.03283</v>
      </c>
      <c r="K306" s="15">
        <v>0.03123</v>
      </c>
      <c r="L306" s="15">
        <v>-0.00918</v>
      </c>
      <c r="M306" s="15">
        <v>-0.076222</v>
      </c>
      <c r="N306" s="15">
        <v>-0.000606</v>
      </c>
      <c r="O306" s="15">
        <v>0.017763</v>
      </c>
      <c r="P306" s="15">
        <f>IF(SUM(D306:O306)=0,"0",AVERAGEIF(D306:O306,"&lt;&gt;0",D306:O306))</f>
      </c>
      <c r="Q306" s="14"/>
    </row>
    <row customHeight="true" ht="19" r="307">
      <c r="A307" s="15">
        <v>292</v>
      </c>
      <c r="B307" s="15" t="str">
        <v>湖南</v>
      </c>
      <c r="C307" s="16" t="str">
        <v>（5）煤电容量电费折合度电水平</v>
      </c>
      <c r="D307" s="15">
        <v>0.03995</v>
      </c>
      <c r="E307" s="15">
        <v>0.04404</v>
      </c>
      <c r="F307" s="15">
        <v>0.03898</v>
      </c>
      <c r="G307" s="15">
        <v>0.03996</v>
      </c>
      <c r="H307" s="15">
        <v>0.0362</v>
      </c>
      <c r="I307" s="15">
        <v>0.04058</v>
      </c>
      <c r="J307" s="15">
        <v>0.03102</v>
      </c>
      <c r="K307" s="15">
        <v>0.0304</v>
      </c>
      <c r="L307" s="15">
        <v>0.03726</v>
      </c>
      <c r="M307" s="15">
        <v>0.052477</v>
      </c>
      <c r="N307" s="15">
        <v>0.040095</v>
      </c>
      <c r="O307" s="15">
        <v>0.036375</v>
      </c>
      <c r="P307" s="15">
        <f>IF(SUM(D307:O307)=0,"0",AVERAGEIF(D307:O307,"&lt;&gt;0",D307:O307))</f>
      </c>
      <c r="Q307" s="14"/>
    </row>
    <row customHeight="true" ht="19" r="308">
      <c r="A308" s="15">
        <v>293</v>
      </c>
      <c r="B308" s="15" t="str">
        <v>湖南</v>
      </c>
      <c r="C308" s="16" t="str">
        <v>（6）天然气发电容量电费折合度电水平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f>IF(SUM(D308:O308)=0,"0",AVERAGEIF(D308:O308,"&lt;&gt;0",D308:O308))</f>
      </c>
      <c r="Q308" s="14"/>
    </row>
    <row customHeight="true" ht="19" r="309">
      <c r="A309" s="15">
        <v>294</v>
      </c>
      <c r="B309" s="15" t="str">
        <v>湖南</v>
      </c>
      <c r="C309" s="16" t="str">
        <v>（7）水电合约价差损益折合度电水平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f>IF(SUM(D309:O309)=0,"0",AVERAGEIF(D309:O309,"&lt;&gt;0",D309:O309))</f>
      </c>
      <c r="Q309" s="14"/>
    </row>
    <row customHeight="true" ht="19" r="310">
      <c r="A310" s="15">
        <v>295</v>
      </c>
      <c r="B310" s="15" t="str">
        <v>湖南</v>
      </c>
      <c r="C310" s="16" t="str">
        <v>（8）独立储能容量电费折合度电水平</v>
      </c>
      <c r="D310" s="15">
        <v>0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f>IF(SUM(D310:O310)=0,"0",AVERAGEIF(D310:O310,"&lt;&gt;0",D310:O310))</f>
      </c>
      <c r="Q310" s="14"/>
    </row>
    <row customHeight="true" ht="19" r="311">
      <c r="A311" s="15">
        <v>296</v>
      </c>
      <c r="B311" s="15" t="str">
        <v>湖南</v>
      </c>
      <c r="C311" s="16" t="str">
        <v>（9）工商业峰谷分时损益折合度电水平</v>
      </c>
      <c r="D311" s="15">
        <v>-0.02411</v>
      </c>
      <c r="E311" s="15">
        <v>-0.0051</v>
      </c>
      <c r="F311" s="15">
        <v>0.01299</v>
      </c>
      <c r="G311" s="15">
        <v>0.01039</v>
      </c>
      <c r="H311" s="15">
        <v>0.00857</v>
      </c>
      <c r="I311" s="15">
        <v>0.01324</v>
      </c>
      <c r="J311" s="15">
        <v>-0.02136</v>
      </c>
      <c r="K311" s="15">
        <v>-0.0242</v>
      </c>
      <c r="L311" s="15">
        <v>-0.01565</v>
      </c>
      <c r="M311" s="15">
        <v>0.041787</v>
      </c>
      <c r="N311" s="15">
        <v>0.012042</v>
      </c>
      <c r="O311" s="15">
        <v>-0.014871</v>
      </c>
      <c r="P311" s="15">
        <f>IF(SUM(D311:O311)=0,"0",AVERAGEIF(D311:O311,"&lt;&gt;0",D311:O311))</f>
      </c>
      <c r="Q311" s="14"/>
    </row>
    <row customHeight="true" ht="19" r="312">
      <c r="A312" s="15">
        <v>297</v>
      </c>
      <c r="B312" s="15" t="str">
        <v>湖南</v>
      </c>
      <c r="C312" s="16" t="str">
        <v>（10）功率因数调整电费损益折合度电水平</v>
      </c>
      <c r="D312" s="15">
        <v>0.00277</v>
      </c>
      <c r="E312" s="15">
        <v>0.00153</v>
      </c>
      <c r="F312" s="15">
        <v>-0.00223</v>
      </c>
      <c r="G312" s="15">
        <v>0.00185</v>
      </c>
      <c r="H312" s="15">
        <v>0.00668</v>
      </c>
      <c r="I312" s="15">
        <v>0.00217</v>
      </c>
      <c r="J312" s="15">
        <v>0.00284</v>
      </c>
      <c r="K312" s="15">
        <v>0.00295</v>
      </c>
      <c r="L312" s="15">
        <v>0.00245</v>
      </c>
      <c r="M312" s="15">
        <v>-0.003853</v>
      </c>
      <c r="N312" s="15">
        <v>0.001593</v>
      </c>
      <c r="O312" s="15">
        <v>0.00232</v>
      </c>
      <c r="P312" s="15">
        <f>IF(SUM(D312:O312)=0,"0",AVERAGEIF(D312:O312,"&lt;&gt;0",D312:O312))</f>
      </c>
      <c r="Q312" s="14"/>
    </row>
    <row customHeight="true" ht="19" r="313">
      <c r="A313" s="15">
        <v>298</v>
      </c>
      <c r="B313" s="15" t="str">
        <v>湖南</v>
      </c>
      <c r="C313" s="16" t="str">
        <v>（11）新能源可持续发展价格结算机制差价结算费用折合度电水平</v>
      </c>
      <c r="D313" s="15">
        <v>0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f>IF(SUM(D313:O313)=0,"0",AVERAGEIF(D313:O313,"&lt;&gt;0",D313:O313))</f>
      </c>
      <c r="Q313" s="14"/>
    </row>
    <row customHeight="true" ht="19" r="314">
      <c r="A314" s="15">
        <v>299</v>
      </c>
      <c r="B314" s="15" t="str">
        <v>湖南</v>
      </c>
      <c r="C314" s="16" t="str">
        <v>（12）趸售电价损益折合度电水平</v>
      </c>
      <c r="D314" s="15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f>IF(SUM(D314:O314)=0,"0",AVERAGEIF(D314:O314,"&lt;&gt;0",D314:O314))</f>
      </c>
      <c r="Q314" s="14"/>
    </row>
    <row customHeight="true" ht="19" r="315">
      <c r="A315" s="15">
        <v>300</v>
      </c>
      <c r="B315" s="15" t="str">
        <v>湖南</v>
      </c>
      <c r="C315" s="39" t="str">
        <v>（13）代理购电价格新增损益折合度电水平</v>
      </c>
      <c r="D315" s="15">
        <v>0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f>IF(SUM(D315:O315)=0,"0",AVERAGEIF(D315:O315,"&lt;&gt;0",D315:O315))</f>
      </c>
      <c r="Q315" s="14"/>
    </row>
    <row customHeight="true" ht="19" r="316">
      <c r="A316" s="15">
        <v>300</v>
      </c>
      <c r="B316" s="15" t="str">
        <v>湖南</v>
      </c>
      <c r="C316" s="39" t="str">
        <v>（14）跨省跨区应急调度价差损益折合度电水平</v>
      </c>
      <c r="D316" s="15">
        <v>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f>IF(SUM(D316:O316)=0,"0",AVERAGEIF(D316:O316,"&lt;&gt;0",D316:O316))</f>
      </c>
      <c r="Q316" s="14"/>
    </row>
    <row customHeight="true" ht="19" r="317">
      <c r="A317" s="15">
        <v>301</v>
      </c>
      <c r="B317" s="15" t="str">
        <v>湖南</v>
      </c>
      <c r="C317" s="39" t="str">
        <v>（15）剩余优先发电价差损益度电水平（地方电网减免）</v>
      </c>
      <c r="D317" s="15">
        <v>0</v>
      </c>
      <c r="E317" s="15">
        <v>0</v>
      </c>
      <c r="F317" s="15">
        <v>0.00714</v>
      </c>
      <c r="G317" s="15">
        <v>0</v>
      </c>
      <c r="H317" s="15">
        <v>-0.00127</v>
      </c>
      <c r="I317" s="15">
        <v>0.00493</v>
      </c>
      <c r="J317" s="15">
        <v>0</v>
      </c>
      <c r="K317" s="15">
        <v>-0.00112</v>
      </c>
      <c r="L317" s="15">
        <v>0</v>
      </c>
      <c r="M317" s="15">
        <v>0.017788</v>
      </c>
      <c r="N317" s="15">
        <v>0.053281</v>
      </c>
      <c r="O317" s="15">
        <v>0.004768</v>
      </c>
      <c r="P317" s="15">
        <f>IF(SUM(D317:O317)=0,"0",AVERAGEIF(D317:O317,"&lt;&gt;0",D317:O317))</f>
      </c>
      <c r="Q317" s="14"/>
    </row>
    <row customHeight="true" ht="19" r="318">
      <c r="A318" s="15">
        <v>302</v>
      </c>
      <c r="B318" s="15" t="str">
        <v>湖南</v>
      </c>
      <c r="C318" s="39" t="str">
        <v>（16）其他费用折合度电水平</v>
      </c>
      <c r="D318" s="15">
        <v>0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0.00045</v>
      </c>
      <c r="L318" s="15">
        <v>0.0001</v>
      </c>
      <c r="M318" s="15">
        <v>-0.000763</v>
      </c>
      <c r="N318" s="15">
        <v>0</v>
      </c>
      <c r="O318" s="15">
        <v>0</v>
      </c>
      <c r="P318" s="15">
        <f>IF(SUM(D318:O318)=0,"0",AVERAGEIF(D318:O318,"&lt;&gt;0",D318:O318))</f>
      </c>
      <c r="Q318" s="14"/>
    </row>
    <row r="319">
      <c r="A319" s="15">
        <v>303</v>
      </c>
      <c r="B319" s="30" t="str">
        <v>江西</v>
      </c>
      <c r="C319" s="27" t="str">
        <v>代理工商业购电价格</v>
      </c>
      <c r="D319" s="30">
        <f>D320+D321</f>
      </c>
      <c r="E319" s="30">
        <f>E320+E321</f>
      </c>
      <c r="F319" s="30">
        <f>F320+F321</f>
      </c>
      <c r="G319" s="30">
        <f>G320+G321</f>
      </c>
      <c r="H319" s="30">
        <f>H320+H321</f>
      </c>
      <c r="I319" s="30">
        <f>I320+I321</f>
      </c>
      <c r="J319" s="30">
        <f>J320+J321</f>
      </c>
      <c r="K319" s="30">
        <f>K320+K321</f>
      </c>
      <c r="L319" s="30">
        <f>L320+L321</f>
      </c>
      <c r="M319" s="30">
        <f>M320+M321</f>
      </c>
      <c r="N319" s="30">
        <f>N320+N321</f>
      </c>
      <c r="O319" s="30">
        <f>O320+O321</f>
      </c>
      <c r="P319" s="30">
        <f>IF(SUM(D319:O319)=0,"0",AVERAGEIF(D319:O319,"&lt;&gt;0",D319:O319))</f>
      </c>
      <c r="Q319" s="29"/>
    </row>
    <row customHeight="true" ht="19" r="320">
      <c r="A320" s="15">
        <v>304</v>
      </c>
      <c r="B320" s="30" t="str">
        <v>江西</v>
      </c>
      <c r="C320" s="27" t="str">
        <v>（1）当月平均购电价格</v>
      </c>
      <c r="D320" s="30">
        <v>0.46513</v>
      </c>
      <c r="E320" s="30">
        <v>0.46155</v>
      </c>
      <c r="F320" s="30">
        <v>0.45143</v>
      </c>
      <c r="G320" s="30">
        <v>0.44846</v>
      </c>
      <c r="H320" s="30">
        <v>0.44782</v>
      </c>
      <c r="I320" s="30">
        <v>0.44284</v>
      </c>
      <c r="J320" s="30">
        <v>0.4495</v>
      </c>
      <c r="K320" s="30">
        <v>0.44834</v>
      </c>
      <c r="L320" s="30">
        <v>0.44554</v>
      </c>
      <c r="M320" s="30">
        <v>0.451994</v>
      </c>
      <c r="N320" s="30">
        <v>0.455004</v>
      </c>
      <c r="O320" s="30">
        <v>0.441183</v>
      </c>
      <c r="P320" s="30">
        <f>IF(SUM(D320:O320)=0,"0",AVERAGEIF(D320:O320,"&lt;&gt;0",D320:O320))</f>
      </c>
      <c r="Q320" s="29"/>
    </row>
    <row customHeight="true" ht="19" r="321">
      <c r="A321" s="15">
        <v>305</v>
      </c>
      <c r="B321" s="30" t="str">
        <v>江西</v>
      </c>
      <c r="C321" s="27" t="str">
        <v>（2）历史偏差电费折价</v>
      </c>
      <c r="D321" s="30">
        <v>0.00181</v>
      </c>
      <c r="E321" s="30">
        <v>0.00967</v>
      </c>
      <c r="F321" s="30">
        <v>0.00018</v>
      </c>
      <c r="G321" s="30">
        <v>0.00725</v>
      </c>
      <c r="H321" s="30">
        <v>-0.0051</v>
      </c>
      <c r="I321" s="30">
        <v>0.00571</v>
      </c>
      <c r="J321" s="30">
        <v>-0.00016</v>
      </c>
      <c r="K321" s="30">
        <v>0.0082</v>
      </c>
      <c r="L321" s="30">
        <v>0.00816</v>
      </c>
      <c r="M321" s="30">
        <v>0.0015</v>
      </c>
      <c r="N321" s="30">
        <v>0.00067</v>
      </c>
      <c r="O321" s="30">
        <v>0</v>
      </c>
      <c r="P321" s="30">
        <f>IF(SUM(D321:O321)=0,"0",AVERAGEIF(D321:O321,"&lt;&gt;0",D321:O321))</f>
      </c>
      <c r="Q321" s="29"/>
    </row>
    <row customHeight="true" ht="19" r="322">
      <c r="A322" s="15">
        <v>306</v>
      </c>
      <c r="B322" s="30" t="str">
        <v>江西</v>
      </c>
      <c r="C322" s="27" t="str">
        <v>上网环节线损费用折价</v>
      </c>
      <c r="D322" s="30">
        <v>0.02044</v>
      </c>
      <c r="E322" s="30">
        <v>0.02029</v>
      </c>
      <c r="F322" s="30">
        <v>0.01984</v>
      </c>
      <c r="G322" s="30">
        <v>0.01971</v>
      </c>
      <c r="H322" s="30">
        <v>0.01968</v>
      </c>
      <c r="I322" s="30">
        <v>0.01946</v>
      </c>
      <c r="J322" s="30">
        <v>0.01976</v>
      </c>
      <c r="K322" s="30">
        <v>0.0197</v>
      </c>
      <c r="L322" s="30">
        <v>0.01958</v>
      </c>
      <c r="M322" s="30">
        <v>0.019865</v>
      </c>
      <c r="N322" s="30">
        <v>0.019998</v>
      </c>
      <c r="O322" s="30">
        <v>0.01939</v>
      </c>
      <c r="P322" s="30">
        <f>IF(SUM(D322:O322)=0,"0",AVERAGEIF(D322:O322,"&lt;&gt;0",D322:O322))</f>
      </c>
      <c r="Q322" s="29"/>
    </row>
    <row r="323">
      <c r="A323" s="15">
        <v>307</v>
      </c>
      <c r="B323" s="30" t="str">
        <v>江西</v>
      </c>
      <c r="C323" s="27" t="str">
        <v>系统运行费用折合度电水平</v>
      </c>
      <c r="D323" s="30">
        <f>SUM(D324:D339)</f>
      </c>
      <c r="E323" s="30">
        <f>SUM(E324:E339)</f>
      </c>
      <c r="F323" s="30">
        <f>SUM(F324:F339)</f>
      </c>
      <c r="G323" s="30">
        <f>SUM(G324:G339)</f>
      </c>
      <c r="H323" s="30">
        <f>SUM(H324:H339)</f>
      </c>
      <c r="I323" s="30">
        <f>SUM(I324:I339)</f>
      </c>
      <c r="J323" s="30">
        <f>SUM(J324:J339)</f>
      </c>
      <c r="K323" s="30">
        <f>SUM(K324:K339)</f>
      </c>
      <c r="L323" s="30">
        <f>SUM(L324:L339)</f>
      </c>
      <c r="M323" s="30">
        <f>SUM(M324:M339)</f>
      </c>
      <c r="N323" s="30">
        <f>SUM(N324:N339)</f>
      </c>
      <c r="O323" s="30">
        <f>SUM(O324:O339)</f>
      </c>
      <c r="P323" s="30">
        <f>IF(SUM(D323:O323)=0,"0",AVERAGEIF(D323:O323,"&lt;&gt;0",D323:O323))</f>
      </c>
      <c r="Q323" s="29"/>
    </row>
    <row customHeight="true" ht="19" r="324">
      <c r="A324" s="15">
        <v>308</v>
      </c>
      <c r="B324" s="30" t="str">
        <v>江西</v>
      </c>
      <c r="C324" s="27" t="str">
        <v>（1）辅助服务费用折合度电水平</v>
      </c>
      <c r="D324" s="30">
        <v>0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f>IF(SUM(D324:O324)=0,"0",AVERAGEIF(D324:O324,"&lt;&gt;0",D324:O324))</f>
      </c>
      <c r="Q324" s="29"/>
    </row>
    <row customHeight="true" ht="19" r="325">
      <c r="A325" s="15">
        <v>309</v>
      </c>
      <c r="B325" s="30" t="str">
        <v>江西</v>
      </c>
      <c r="C325" s="27" t="str">
        <v>（2）抽水蓄能容量电费折合度电水平</v>
      </c>
      <c r="D325" s="30">
        <v>0.0047</v>
      </c>
      <c r="E325" s="30">
        <v>0.00494</v>
      </c>
      <c r="F325" s="30">
        <v>0.00391</v>
      </c>
      <c r="G325" s="30">
        <v>0.00396</v>
      </c>
      <c r="H325" s="30">
        <v>0.00384</v>
      </c>
      <c r="I325" s="30">
        <v>0.0037</v>
      </c>
      <c r="J325" s="30">
        <v>0.00322</v>
      </c>
      <c r="K325" s="30">
        <v>0.0033</v>
      </c>
      <c r="L325" s="30">
        <v>0.00351</v>
      </c>
      <c r="M325" s="30">
        <v>0.003849</v>
      </c>
      <c r="N325" s="30">
        <v>0.003792</v>
      </c>
      <c r="O325" s="30">
        <v>0.003322</v>
      </c>
      <c r="P325" s="30">
        <f>IF(SUM(D325:O325)=0,"0",AVERAGEIF(D325:O325,"&lt;&gt;0",D325:O325))</f>
      </c>
      <c r="Q325" s="29"/>
    </row>
    <row customHeight="true" ht="19" r="326">
      <c r="A326" s="15">
        <v>310</v>
      </c>
      <c r="B326" s="30" t="str">
        <v>江西</v>
      </c>
      <c r="C326" s="27" t="str">
        <v>（3）上网环节线损代理采购损益折合度电水平</v>
      </c>
      <c r="D326" s="30">
        <v>-0.00352</v>
      </c>
      <c r="E326" s="30">
        <v>0.00143</v>
      </c>
      <c r="F326" s="30">
        <v>-0.00122</v>
      </c>
      <c r="G326" s="30">
        <v>-0.00109</v>
      </c>
      <c r="H326" s="30">
        <v>-0.00124</v>
      </c>
      <c r="I326" s="30">
        <v>-0.00103</v>
      </c>
      <c r="J326" s="30">
        <v>-0.00164</v>
      </c>
      <c r="K326" s="30">
        <v>-0.00146</v>
      </c>
      <c r="L326" s="30">
        <v>-0.00167</v>
      </c>
      <c r="M326" s="30">
        <v>-0.006713</v>
      </c>
      <c r="N326" s="30">
        <v>-0.002965</v>
      </c>
      <c r="O326" s="30">
        <v>-0.000279</v>
      </c>
      <c r="P326" s="30">
        <f>IF(SUM(D326:O326)=0,"0",AVERAGEIF(D326:O326,"&lt;&gt;0",D326:O326))</f>
      </c>
      <c r="Q326" s="29"/>
    </row>
    <row customHeight="true" ht="19" r="327">
      <c r="A327" s="15">
        <v>311</v>
      </c>
      <c r="B327" s="30" t="str">
        <v>江西</v>
      </c>
      <c r="C327" s="27" t="str">
        <v>（4）电价交叉补贴新增损益折合度电水平</v>
      </c>
      <c r="D327" s="30">
        <v>0.01854</v>
      </c>
      <c r="E327" s="30">
        <v>0.00352</v>
      </c>
      <c r="F327" s="30">
        <v>-0.01279</v>
      </c>
      <c r="G327" s="30">
        <v>-0.00951</v>
      </c>
      <c r="H327" s="30">
        <v>-0.01102</v>
      </c>
      <c r="I327" s="30">
        <v>-0.00544</v>
      </c>
      <c r="J327" s="30">
        <v>-0.00565</v>
      </c>
      <c r="K327" s="30">
        <v>-0.00431</v>
      </c>
      <c r="L327" s="30">
        <v>0.00293</v>
      </c>
      <c r="M327" s="30">
        <v>-0.02099</v>
      </c>
      <c r="N327" s="30">
        <v>-0.028564</v>
      </c>
      <c r="O327" s="30">
        <v>-0.019097</v>
      </c>
      <c r="P327" s="30">
        <f>IF(SUM(D327:O327)=0,"0",AVERAGEIF(D327:O327,"&lt;&gt;0",D327:O327))</f>
      </c>
      <c r="Q327" s="29"/>
    </row>
    <row customHeight="true" ht="19" r="328">
      <c r="A328" s="15">
        <v>312</v>
      </c>
      <c r="B328" s="30" t="str">
        <v>江西</v>
      </c>
      <c r="C328" s="27" t="str">
        <v>（5）煤电容量电费折合度电水平</v>
      </c>
      <c r="D328" s="30">
        <v>0.02339</v>
      </c>
      <c r="E328" s="30">
        <v>0.02241</v>
      </c>
      <c r="F328" s="30">
        <v>0.02297</v>
      </c>
      <c r="G328" s="30">
        <v>0.01673</v>
      </c>
      <c r="H328" s="30">
        <v>0.02022</v>
      </c>
      <c r="I328" s="30">
        <v>0.01723</v>
      </c>
      <c r="J328" s="30">
        <v>0.01651</v>
      </c>
      <c r="K328" s="30">
        <v>0.01502</v>
      </c>
      <c r="L328" s="30">
        <v>0.01797</v>
      </c>
      <c r="M328" s="30">
        <v>0.021638</v>
      </c>
      <c r="N328" s="30">
        <v>0.019998</v>
      </c>
      <c r="O328" s="30">
        <v>0.018138</v>
      </c>
      <c r="P328" s="30">
        <f>IF(SUM(D328:O328)=0,"0",AVERAGEIF(D328:O328,"&lt;&gt;0",D328:O328))</f>
      </c>
      <c r="Q328" s="29"/>
    </row>
    <row customHeight="true" ht="19" r="329">
      <c r="A329" s="15">
        <v>313</v>
      </c>
      <c r="B329" s="30" t="str">
        <v>江西</v>
      </c>
      <c r="C329" s="27" t="str">
        <v>（6）天然气发电容量电费折合度电水平</v>
      </c>
      <c r="D329" s="30">
        <v>0.0006</v>
      </c>
      <c r="E329" s="30">
        <v>0.00064</v>
      </c>
      <c r="F329" s="30">
        <v>0.00051</v>
      </c>
      <c r="G329" s="30">
        <v>0.00051</v>
      </c>
      <c r="H329" s="30">
        <v>0.0005</v>
      </c>
      <c r="I329" s="30">
        <v>0.00048</v>
      </c>
      <c r="J329" s="30">
        <v>0.00042</v>
      </c>
      <c r="K329" s="30">
        <v>0.00043</v>
      </c>
      <c r="L329" s="30">
        <v>0.00046</v>
      </c>
      <c r="M329" s="30">
        <v>0.021947</v>
      </c>
      <c r="N329" s="30">
        <v>0.019585</v>
      </c>
      <c r="O329" s="30">
        <v>0.004887</v>
      </c>
      <c r="P329" s="30">
        <f>IF(SUM(D329:O329)=0,"0",AVERAGEIF(D329:O329,"&lt;&gt;0",D329:O329))</f>
      </c>
      <c r="Q329" s="29"/>
    </row>
    <row customHeight="true" ht="19" r="330">
      <c r="A330" s="15">
        <v>314</v>
      </c>
      <c r="B330" s="30" t="str">
        <v>江西</v>
      </c>
      <c r="C330" s="27" t="str">
        <v>（7）水电合约价差损益折合度电水平</v>
      </c>
      <c r="D330" s="30">
        <v>0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f>IF(SUM(D330:O330)=0,"0",AVERAGEIF(D330:O330,"&lt;&gt;0",D330:O330))</f>
      </c>
      <c r="Q330" s="29"/>
    </row>
    <row customHeight="true" ht="19" r="331">
      <c r="A331" s="15">
        <v>315</v>
      </c>
      <c r="B331" s="30" t="str">
        <v>江西</v>
      </c>
      <c r="C331" s="27" t="str">
        <v>（8）独立储能容量电费折合度电水平</v>
      </c>
      <c r="D331" s="30">
        <v>0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f>IF(SUM(D331:O331)=0,"0",AVERAGEIF(D331:O331,"&lt;&gt;0",D331:O331))</f>
      </c>
      <c r="Q331" s="29"/>
    </row>
    <row customHeight="true" ht="19" r="332">
      <c r="A332" s="15">
        <v>316</v>
      </c>
      <c r="B332" s="30" t="str">
        <v>江西</v>
      </c>
      <c r="C332" s="27" t="str">
        <v>（9）工商业峰谷分时损益折合度电水平</v>
      </c>
      <c r="D332" s="30">
        <v>0.00953</v>
      </c>
      <c r="E332" s="30">
        <v>0.00168</v>
      </c>
      <c r="F332" s="30">
        <v>0.00704</v>
      </c>
      <c r="G332" s="30">
        <v>0.0039</v>
      </c>
      <c r="H332" s="30">
        <v>0.00681</v>
      </c>
      <c r="I332" s="30">
        <v>0.00482</v>
      </c>
      <c r="J332" s="30">
        <v>0.00348</v>
      </c>
      <c r="K332" s="30">
        <v>0.00435</v>
      </c>
      <c r="L332" s="30">
        <v>0.02044</v>
      </c>
      <c r="M332" s="30">
        <v>0.00823</v>
      </c>
      <c r="N332" s="30">
        <v>0.02852</v>
      </c>
      <c r="O332" s="30">
        <v>0.057463</v>
      </c>
      <c r="P332" s="30">
        <f>IF(SUM(D332:O332)=0,"0",AVERAGEIF(D332:O332,"&lt;&gt;0",D332:O332))</f>
      </c>
      <c r="Q332" s="29"/>
    </row>
    <row customHeight="true" ht="19" r="333">
      <c r="A333" s="15">
        <v>317</v>
      </c>
      <c r="B333" s="30" t="str">
        <v>江西</v>
      </c>
      <c r="C333" s="27" t="str">
        <v>（10）功率因数调整电费损益折合度电水平</v>
      </c>
      <c r="D333" s="30">
        <v>0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f>IF(SUM(D333:O333)=0,"0",AVERAGEIF(D333:O333,"&lt;&gt;0",D333:O333))</f>
      </c>
      <c r="Q333" s="29"/>
    </row>
    <row customHeight="true" ht="19" r="334">
      <c r="A334" s="15">
        <v>318</v>
      </c>
      <c r="B334" s="30" t="str">
        <v>江西</v>
      </c>
      <c r="C334" s="27" t="str">
        <v>（11）新能源可持续发展价格结算机制差价结算费用折合度电水平</v>
      </c>
      <c r="D334" s="30">
        <v>0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f>IF(SUM(D334:O334)=0,"0",AVERAGEIF(D334:O334,"&lt;&gt;0",D334:O334))</f>
      </c>
      <c r="Q334" s="29"/>
    </row>
    <row customHeight="true" ht="19" r="335">
      <c r="A335" s="15">
        <v>319</v>
      </c>
      <c r="B335" s="30" t="str">
        <v>江西</v>
      </c>
      <c r="C335" s="27" t="str">
        <v>（12）趸售电价损益折合度电水平</v>
      </c>
      <c r="D335" s="30">
        <v>0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f>IF(SUM(D335:O335)=0,"0",AVERAGEIF(D335:O335,"&lt;&gt;0",D335:O335))</f>
      </c>
      <c r="Q335" s="29"/>
    </row>
    <row customHeight="true" ht="19" r="336">
      <c r="A336" s="15">
        <v>320</v>
      </c>
      <c r="B336" s="30" t="str">
        <v>江西</v>
      </c>
      <c r="C336" s="27" t="str">
        <v>（13）代理购电价格新增损益折合度电水平</v>
      </c>
      <c r="D336" s="30">
        <v>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f>IF(SUM(D336:O336)=0,"0",AVERAGEIF(D336:O336,"&lt;&gt;0",D336:O336))</f>
      </c>
      <c r="Q336" s="29"/>
    </row>
    <row customHeight="true" ht="19" r="337">
      <c r="A337" s="15">
        <v>320</v>
      </c>
      <c r="B337" s="30" t="str">
        <v>江西</v>
      </c>
      <c r="C337" s="27" t="str">
        <v>（14）跨省跨区应急调度价差损益折合度电水平</v>
      </c>
      <c r="D337" s="30">
        <v>0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f>IF(SUM(D337:O337)=0,"0",AVERAGEIF(D337:O337,"&lt;&gt;0",D337:O337))</f>
      </c>
      <c r="Q337" s="29"/>
    </row>
    <row customHeight="true" ht="19" r="338">
      <c r="A338" s="15">
        <v>321</v>
      </c>
      <c r="B338" s="30" t="str">
        <v>江西</v>
      </c>
      <c r="C338" s="27" t="str">
        <v>（15）剩余优先发电价差损益度电水平</v>
      </c>
      <c r="D338" s="30">
        <v>0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f>IF(SUM(D338:O338)=0,"0",AVERAGEIF(D338:O338,"&lt;&gt;0",D338:O338))</f>
      </c>
      <c r="Q338" s="29"/>
    </row>
    <row customHeight="true" ht="19" r="339">
      <c r="A339" s="15">
        <v>322</v>
      </c>
      <c r="B339" s="30" t="str">
        <v>江西</v>
      </c>
      <c r="C339" s="27" t="str">
        <v>（16）其他费用折合度电水平</v>
      </c>
      <c r="D339" s="30">
        <v>0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0.008367</v>
      </c>
      <c r="O339" s="30">
        <v>-0.025816</v>
      </c>
      <c r="P339" s="30">
        <f>IF(SUM(D339:O339)=0,"0",AVERAGEIF(D339:O339,"&lt;&gt;0",D339:O339))</f>
      </c>
      <c r="Q339" s="29"/>
    </row>
    <row r="340">
      <c r="A340" s="15">
        <v>323</v>
      </c>
      <c r="B340" s="15" t="str">
        <v>辽宁</v>
      </c>
      <c r="C340" s="16" t="str">
        <v>代理工商业购电价格</v>
      </c>
      <c r="D340" s="15">
        <f>D341+D342</f>
      </c>
      <c r="E340" s="15">
        <f>E341+E342</f>
      </c>
      <c r="F340" s="15">
        <f>F341+F342</f>
      </c>
      <c r="G340" s="15">
        <f>G341+G342</f>
      </c>
      <c r="H340" s="15">
        <f>H341+H342</f>
      </c>
      <c r="I340" s="15">
        <f>I341+I342</f>
      </c>
      <c r="J340" s="15">
        <f>J341+J342</f>
      </c>
      <c r="K340" s="15">
        <f>K341+K342</f>
      </c>
      <c r="L340" s="15">
        <f>L341+L342</f>
      </c>
      <c r="M340" s="15">
        <f>M341+M342</f>
      </c>
      <c r="N340" s="15">
        <f>N341+N342</f>
      </c>
      <c r="O340" s="15">
        <f>O341+O342</f>
      </c>
      <c r="P340" s="15">
        <f>IF(SUM(D340:O340)=0,"0",AVERAGEIF(D340:O340,"&lt;&gt;0",D340:O340))</f>
      </c>
      <c r="Q340" s="14"/>
    </row>
    <row customHeight="true" ht="19" r="341">
      <c r="A341" s="15">
        <v>324</v>
      </c>
      <c r="B341" s="15" t="str">
        <v>辽宁</v>
      </c>
      <c r="C341" s="16" t="str">
        <v>（1）当月平均购电价格</v>
      </c>
      <c r="D341" s="15">
        <v>0.424475</v>
      </c>
      <c r="E341" s="15">
        <v>0.433587</v>
      </c>
      <c r="F341" s="15">
        <v>0.42242</v>
      </c>
      <c r="G341" s="15">
        <v>0.418019</v>
      </c>
      <c r="H341" s="15">
        <v>0.420313</v>
      </c>
      <c r="I341" s="15">
        <v>0.416544</v>
      </c>
      <c r="J341" s="15">
        <v>0.412215</v>
      </c>
      <c r="K341" s="15">
        <v>0.417547</v>
      </c>
      <c r="L341" s="15">
        <v>0.419874</v>
      </c>
      <c r="M341" s="15">
        <v>0.407221</v>
      </c>
      <c r="N341" s="15">
        <v>0.409701</v>
      </c>
      <c r="O341" s="15">
        <v>0.418905</v>
      </c>
      <c r="P341" s="15">
        <f>IF(SUM(D341:O341)=0,"0",AVERAGEIF(D341:O341,"&lt;&gt;0",D341:O341))</f>
      </c>
      <c r="Q341" s="14"/>
    </row>
    <row customHeight="true" ht="19" r="342">
      <c r="A342" s="15">
        <v>325</v>
      </c>
      <c r="B342" s="15" t="str">
        <v>辽宁</v>
      </c>
      <c r="C342" s="16" t="str">
        <v>（2）历史偏差电费折价</v>
      </c>
      <c r="D342" s="15">
        <v>-0.001582</v>
      </c>
      <c r="E342" s="15">
        <v>-0.003155</v>
      </c>
      <c r="F342" s="15">
        <v>0.001828</v>
      </c>
      <c r="G342" s="15">
        <v>-0.01123</v>
      </c>
      <c r="H342" s="15">
        <v>0.011144</v>
      </c>
      <c r="I342" s="15">
        <v>0.01262</v>
      </c>
      <c r="J342" s="15">
        <v>0.004613</v>
      </c>
      <c r="K342" s="15">
        <v>0.005528</v>
      </c>
      <c r="L342" s="15">
        <v>0.024137</v>
      </c>
      <c r="M342" s="15">
        <v>0.020198</v>
      </c>
      <c r="N342" s="15">
        <v>0.001192</v>
      </c>
      <c r="O342" s="15">
        <v>0.023016</v>
      </c>
      <c r="P342" s="15">
        <f>IF(SUM(D342:O342)=0,"0",AVERAGEIF(D342:O342,"&lt;&gt;0",D342:O342))</f>
      </c>
      <c r="Q342" s="14"/>
    </row>
    <row customHeight="true" ht="19" r="343">
      <c r="A343" s="15">
        <v>326</v>
      </c>
      <c r="B343" s="15" t="str">
        <v>辽宁</v>
      </c>
      <c r="C343" s="16" t="str">
        <v>上网环节线损费用折价</v>
      </c>
      <c r="D343" s="15">
        <v>0.019859</v>
      </c>
      <c r="E343" s="15">
        <v>0.02006</v>
      </c>
      <c r="F343" s="15">
        <v>0.019745</v>
      </c>
      <c r="G343" s="15">
        <v>0.019755</v>
      </c>
      <c r="H343" s="15">
        <v>0.019873</v>
      </c>
      <c r="I343" s="15">
        <v>0.019857</v>
      </c>
      <c r="J343" s="15">
        <v>0.019825</v>
      </c>
      <c r="K343" s="15">
        <v>0.019753</v>
      </c>
      <c r="L343" s="15">
        <v>0.019804</v>
      </c>
      <c r="M343" s="15">
        <v>0.019588</v>
      </c>
      <c r="N343" s="15">
        <v>0.019481</v>
      </c>
      <c r="O343" s="15">
        <v>0.019624</v>
      </c>
      <c r="P343" s="15">
        <f>IF(SUM(D343:O343)=0,"0",AVERAGEIF(D343:O343,"&lt;&gt;0",D343:O343))</f>
      </c>
      <c r="Q343" s="14"/>
    </row>
    <row r="344">
      <c r="A344" s="15">
        <v>327</v>
      </c>
      <c r="B344" s="15" t="str">
        <v>辽宁</v>
      </c>
      <c r="C344" s="16" t="str">
        <v>系统运行费用折合度电水平</v>
      </c>
      <c r="D344" s="15">
        <f>SUM(D345:D360)</f>
      </c>
      <c r="E344" s="15">
        <f>SUM(E345:E360)</f>
      </c>
      <c r="F344" s="15">
        <f>SUM(F345:F360)</f>
      </c>
      <c r="G344" s="15">
        <f>SUM(G345:G360)</f>
      </c>
      <c r="H344" s="15">
        <f>SUM(H345:H360)</f>
      </c>
      <c r="I344" s="15">
        <f>SUM(I345:I360)</f>
      </c>
      <c r="J344" s="15">
        <f>SUM(J345:J360)</f>
      </c>
      <c r="K344" s="15">
        <f>SUM(K345:K360)</f>
      </c>
      <c r="L344" s="15">
        <f>SUM(L345:L360)</f>
      </c>
      <c r="M344" s="15">
        <f>SUM(M345:M360)</f>
      </c>
      <c r="N344" s="15">
        <f>SUM(N345:N360)</f>
      </c>
      <c r="O344" s="15">
        <f>SUM(O345:O360)</f>
      </c>
      <c r="P344" s="15">
        <f>IF(SUM(D344:O344)=0,"0",AVERAGEIF(D344:O344,"&lt;&gt;0",D344:O344))</f>
      </c>
      <c r="Q344" s="14"/>
    </row>
    <row customHeight="true" ht="19" r="345">
      <c r="A345" s="15">
        <v>328</v>
      </c>
      <c r="B345" s="15" t="str">
        <v>辽宁</v>
      </c>
      <c r="C345" s="16" t="str">
        <v>（1）辅助服务费用折合度电水平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f>IF(SUM(D345:O345)=0,"0",AVERAGEIF(D345:O345,"&lt;&gt;0",D345:O345))</f>
      </c>
      <c r="Q345" s="14"/>
    </row>
    <row customHeight="true" ht="19" r="346">
      <c r="A346" s="15">
        <v>329</v>
      </c>
      <c r="B346" s="15" t="str">
        <v>辽宁</v>
      </c>
      <c r="C346" s="16" t="str">
        <v>（2）抽水蓄能容量电费折合度电水平</v>
      </c>
      <c r="D346" s="15">
        <v>0.00988</v>
      </c>
      <c r="E346" s="15">
        <v>0.011444</v>
      </c>
      <c r="F346" s="15">
        <v>0.010817</v>
      </c>
      <c r="G346" s="15">
        <v>0.014288</v>
      </c>
      <c r="H346" s="15">
        <v>0.011368</v>
      </c>
      <c r="I346" s="15">
        <v>0.011705</v>
      </c>
      <c r="J346" s="15">
        <v>0.010823</v>
      </c>
      <c r="K346" s="15">
        <v>0.010973</v>
      </c>
      <c r="L346" s="15">
        <v>0.011456</v>
      </c>
      <c r="M346" s="15">
        <v>0.011226</v>
      </c>
      <c r="N346" s="15">
        <v>0.010594</v>
      </c>
      <c r="O346" s="15">
        <v>0.009917</v>
      </c>
      <c r="P346" s="15">
        <f>IF(SUM(D346:O346)=0,"0",AVERAGEIF(D346:O346,"&lt;&gt;0",D346:O346))</f>
      </c>
      <c r="Q346" s="14"/>
    </row>
    <row customHeight="true" ht="19" r="347">
      <c r="A347" s="15">
        <v>330</v>
      </c>
      <c r="B347" s="15" t="str">
        <v>辽宁</v>
      </c>
      <c r="C347" s="16" t="str">
        <v>（3）上网环节线损代理采购损益折合度电水平</v>
      </c>
      <c r="D347" s="15">
        <v>0.003749</v>
      </c>
      <c r="E347" s="15">
        <v>-0.019037</v>
      </c>
      <c r="F347" s="15">
        <v>0.003799</v>
      </c>
      <c r="G347" s="15">
        <v>-0.002423</v>
      </c>
      <c r="H347" s="15">
        <v>-0.007698</v>
      </c>
      <c r="I347" s="15">
        <v>-0.005979</v>
      </c>
      <c r="J347" s="15">
        <v>-0.002936</v>
      </c>
      <c r="K347" s="15">
        <v>-0.000653</v>
      </c>
      <c r="L347" s="15">
        <v>0.001276</v>
      </c>
      <c r="M347" s="15">
        <v>-0.000157</v>
      </c>
      <c r="N347" s="15">
        <v>-0.000514</v>
      </c>
      <c r="O347" s="15">
        <v>-0.000992</v>
      </c>
      <c r="P347" s="15">
        <f>IF(SUM(D347:O347)=0,"0",AVERAGEIF(D347:O347,"&lt;&gt;0",D347:O347))</f>
      </c>
      <c r="Q347" s="14"/>
    </row>
    <row customHeight="true" ht="19" r="348">
      <c r="A348" s="15">
        <v>331</v>
      </c>
      <c r="B348" s="15" t="str">
        <v>辽宁</v>
      </c>
      <c r="C348" s="16" t="str">
        <v>（4）电价交叉补贴新增损益折合度电水平</v>
      </c>
      <c r="D348" s="15">
        <v>0.000921</v>
      </c>
      <c r="E348" s="15">
        <v>0.004081</v>
      </c>
      <c r="F348" s="15">
        <v>0.024312</v>
      </c>
      <c r="G348" s="15">
        <v>0.01081</v>
      </c>
      <c r="H348" s="15">
        <v>0.013493</v>
      </c>
      <c r="I348" s="15">
        <v>0.013047</v>
      </c>
      <c r="J348" s="15">
        <v>0.007579</v>
      </c>
      <c r="K348" s="15">
        <v>0.010113</v>
      </c>
      <c r="L348" s="15">
        <v>0.025156</v>
      </c>
      <c r="M348" s="15">
        <v>0.015229</v>
      </c>
      <c r="N348" s="15">
        <v>0.005123</v>
      </c>
      <c r="O348" s="15">
        <v>0.004653</v>
      </c>
      <c r="P348" s="15">
        <f>IF(SUM(D348:O348)=0,"0",AVERAGEIF(D348:O348,"&lt;&gt;0",D348:O348))</f>
      </c>
      <c r="Q348" s="14"/>
    </row>
    <row customHeight="true" ht="19" r="349">
      <c r="A349" s="15">
        <v>332</v>
      </c>
      <c r="B349" s="15" t="str">
        <v>辽宁</v>
      </c>
      <c r="C349" s="16" t="str">
        <v>（5）煤电容量电费折合度电水平</v>
      </c>
      <c r="D349" s="15">
        <v>0.009148</v>
      </c>
      <c r="E349" s="15">
        <v>0.007331</v>
      </c>
      <c r="F349" s="15">
        <v>0.015894</v>
      </c>
      <c r="G349" s="15">
        <v>0.016877</v>
      </c>
      <c r="H349" s="15">
        <v>0.016914</v>
      </c>
      <c r="I349" s="15">
        <v>0.014504</v>
      </c>
      <c r="J349" s="15">
        <v>0.014199</v>
      </c>
      <c r="K349" s="15">
        <v>0.016533</v>
      </c>
      <c r="L349" s="15">
        <v>0.016999</v>
      </c>
      <c r="M349" s="15">
        <v>0.014788</v>
      </c>
      <c r="N349" s="15">
        <v>0.014316</v>
      </c>
      <c r="O349" s="15">
        <v>0.014498</v>
      </c>
      <c r="P349" s="15">
        <f>IF(SUM(D349:O349)=0,"0",AVERAGEIF(D349:O349,"&lt;&gt;0",D349:O349))</f>
      </c>
      <c r="Q349" s="14"/>
    </row>
    <row customHeight="true" ht="19" r="350">
      <c r="A350" s="15">
        <v>333</v>
      </c>
      <c r="B350" s="15" t="str">
        <v>辽宁</v>
      </c>
      <c r="C350" s="16" t="str">
        <v>（6）天然气发电容量电费折合度电水平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f>IF(SUM(D350:O350)=0,"0",AVERAGEIF(D350:O350,"&lt;&gt;0",D350:O350))</f>
      </c>
      <c r="Q350" s="14"/>
    </row>
    <row customHeight="true" ht="19" r="351">
      <c r="A351" s="15">
        <v>334</v>
      </c>
      <c r="B351" s="15" t="str">
        <v>辽宁</v>
      </c>
      <c r="C351" s="16" t="str">
        <v>（7）水电合约价差损益折合度电水平</v>
      </c>
      <c r="D351" s="15">
        <v>0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f>IF(SUM(D351:O351)=0,"0",AVERAGEIF(D351:O351,"&lt;&gt;0",D351:O351))</f>
      </c>
      <c r="Q351" s="14"/>
    </row>
    <row customHeight="true" ht="19" r="352">
      <c r="A352" s="15">
        <v>335</v>
      </c>
      <c r="B352" s="15" t="str">
        <v>辽宁</v>
      </c>
      <c r="C352" s="16" t="str">
        <v>（8）独立储能容量电费折合度电水平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f>IF(SUM(D352:O352)=0,"0",AVERAGEIF(D352:O352,"&lt;&gt;0",D352:O352))</f>
      </c>
      <c r="Q352" s="14"/>
    </row>
    <row customHeight="true" ht="19" r="353">
      <c r="A353" s="15">
        <v>336</v>
      </c>
      <c r="B353" s="15" t="str">
        <v>辽宁</v>
      </c>
      <c r="C353" s="16" t="str">
        <v>（9）工商业峰谷分时损益折合度电水平</v>
      </c>
      <c r="D353" s="15">
        <v>0.001541</v>
      </c>
      <c r="E353" s="15">
        <v>-0.000649</v>
      </c>
      <c r="F353" s="15">
        <v>0.000082</v>
      </c>
      <c r="G353" s="15">
        <v>0.013364</v>
      </c>
      <c r="H353" s="15">
        <v>0.001766</v>
      </c>
      <c r="I353" s="15">
        <v>0.000081</v>
      </c>
      <c r="J353" s="15">
        <v>0.000059</v>
      </c>
      <c r="K353" s="15">
        <v>-0.000005</v>
      </c>
      <c r="L353" s="15">
        <v>0.000076</v>
      </c>
      <c r="M353" s="15">
        <v>0.000014</v>
      </c>
      <c r="N353" s="15">
        <v>0.00001</v>
      </c>
      <c r="O353" s="15">
        <v>0.00013</v>
      </c>
      <c r="P353" s="15">
        <f>IF(SUM(D353:O353)=0,"0",AVERAGEIF(D353:O353,"&lt;&gt;0",D353:O353))</f>
      </c>
      <c r="Q353" s="14"/>
    </row>
    <row customHeight="true" ht="19" r="354">
      <c r="A354" s="15">
        <v>337</v>
      </c>
      <c r="B354" s="15" t="str">
        <v>辽宁</v>
      </c>
      <c r="C354" s="16" t="str">
        <v>（10）功率因数调整电费损益折合度电水平</v>
      </c>
      <c r="D354" s="15">
        <v>0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f>IF(SUM(D354:O354)=0,"0",AVERAGEIF(D354:O354,"&lt;&gt;0",D354:O354))</f>
      </c>
      <c r="Q354" s="14"/>
    </row>
    <row customHeight="true" ht="19" r="355">
      <c r="A355" s="15">
        <v>338</v>
      </c>
      <c r="B355" s="15" t="str">
        <v>辽宁</v>
      </c>
      <c r="C355" s="16" t="str">
        <v>（11）新能源可持续发展价格结算机制差价结算费用折合度电水平</v>
      </c>
      <c r="D355" s="15">
        <v>0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f>IF(SUM(D355:O355)=0,"0",AVERAGEIF(D355:O355,"&lt;&gt;0",D355:O355))</f>
      </c>
      <c r="Q355" s="14"/>
    </row>
    <row customHeight="true" ht="19" r="356">
      <c r="A356" s="15">
        <v>339</v>
      </c>
      <c r="B356" s="15" t="str">
        <v>辽宁</v>
      </c>
      <c r="C356" s="16" t="str">
        <v>（12）趸售电价损益折合度电水平</v>
      </c>
      <c r="D356" s="15">
        <v>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f>IF(SUM(D356:O356)=0,"0",AVERAGEIF(D356:O356,"&lt;&gt;0",D356:O356))</f>
      </c>
      <c r="Q356" s="14"/>
    </row>
    <row customHeight="true" ht="19" r="357">
      <c r="A357" s="15">
        <v>340</v>
      </c>
      <c r="B357" s="15" t="str">
        <v>辽宁</v>
      </c>
      <c r="C357" s="39" t="str">
        <v>（13）代理购电价格新增损益折合度电水平</v>
      </c>
      <c r="D357" s="15">
        <v>0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f>IF(SUM(D357:O357)=0,"0",AVERAGEIF(D357:O357,"&lt;&gt;0",D357:O357))</f>
      </c>
      <c r="Q357" s="14"/>
    </row>
    <row customHeight="true" ht="19" r="358">
      <c r="A358" s="15">
        <v>340</v>
      </c>
      <c r="B358" s="15" t="str">
        <v>辽宁</v>
      </c>
      <c r="C358" s="39" t="str">
        <v>（14）跨省跨区应急调度价差损益折合度电水平</v>
      </c>
      <c r="D358" s="15">
        <v>0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-0.000015</v>
      </c>
      <c r="P358" s="15">
        <f>IF(SUM(D358:O358)=0,"0",AVERAGEIF(D358:O358,"&lt;&gt;0",D358:O358))</f>
      </c>
      <c r="Q358" s="14"/>
    </row>
    <row customHeight="true" ht="19" r="359">
      <c r="A359" s="15">
        <v>341</v>
      </c>
      <c r="B359" s="15" t="str">
        <v>辽宁</v>
      </c>
      <c r="C359" s="39" t="str">
        <v>（15）剩余优先发电价差损益度电水平</v>
      </c>
      <c r="D359" s="15">
        <v>0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f>IF(SUM(D359:O359)=0,"0",AVERAGEIF(D359:O359,"&lt;&gt;0",D359:O359))</f>
      </c>
      <c r="Q359" s="14"/>
    </row>
    <row customHeight="true" ht="19" r="360">
      <c r="A360" s="15">
        <v>342</v>
      </c>
      <c r="B360" s="15" t="str">
        <v>辽宁</v>
      </c>
      <c r="C360" s="39" t="str">
        <v>（16）其他费用折合度电水平</v>
      </c>
      <c r="D360" s="15">
        <v>0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f>IF(SUM(D360:O360)=0,"0",AVERAGEIF(D360:O360,"&lt;&gt;0",D360:O360))</f>
      </c>
      <c r="Q360" s="14"/>
    </row>
    <row r="361">
      <c r="A361" s="15">
        <v>343</v>
      </c>
      <c r="B361" s="30" t="str">
        <v>吉林</v>
      </c>
      <c r="C361" s="27" t="str">
        <v>代理工商业购电价格</v>
      </c>
      <c r="D361" s="30">
        <f>D362+D363</f>
      </c>
      <c r="E361" s="30">
        <f>E362+E363</f>
      </c>
      <c r="F361" s="30">
        <f>F362+F363</f>
      </c>
      <c r="G361" s="30">
        <f>G362+G363</f>
      </c>
      <c r="H361" s="30">
        <f>H362+H363</f>
      </c>
      <c r="I361" s="30">
        <f>I362+I363</f>
      </c>
      <c r="J361" s="30">
        <f>J362+J363</f>
      </c>
      <c r="K361" s="30">
        <f>K362+K363</f>
      </c>
      <c r="L361" s="30">
        <f>L362+L363</f>
      </c>
      <c r="M361" s="30">
        <f>M362+M363</f>
      </c>
      <c r="N361" s="30">
        <f>N362+N363</f>
      </c>
      <c r="O361" s="30">
        <f>O362+O363</f>
      </c>
      <c r="P361" s="30">
        <f>IF(SUM(D361:O361)=0,"0",AVERAGEIF(D361:O361,"&lt;&gt;0",D361:O361))</f>
      </c>
      <c r="Q361" s="29"/>
    </row>
    <row customHeight="true" ht="19" r="362">
      <c r="A362" s="15">
        <v>344</v>
      </c>
      <c r="B362" s="30" t="str">
        <v>吉林</v>
      </c>
      <c r="C362" s="27" t="str">
        <v>（1）当月平均购电价格</v>
      </c>
      <c r="D362" s="30">
        <v>0.42142</v>
      </c>
      <c r="E362" s="30">
        <v>0.40086</v>
      </c>
      <c r="F362" s="30">
        <v>0.40317</v>
      </c>
      <c r="G362" s="30">
        <v>0.39043</v>
      </c>
      <c r="H362" s="30">
        <v>0.39204</v>
      </c>
      <c r="I362" s="30">
        <v>0.39169</v>
      </c>
      <c r="J362" s="30">
        <v>0.38972</v>
      </c>
      <c r="K362" s="30">
        <v>0.40747</v>
      </c>
      <c r="L362" s="30">
        <v>0.41487</v>
      </c>
      <c r="M362" s="30">
        <v>0.42286</v>
      </c>
      <c r="N362" s="30">
        <v>0.42737</v>
      </c>
      <c r="O362" s="30">
        <v>0.42168</v>
      </c>
      <c r="P362" s="30">
        <f>IF(SUM(D362:O362)=0,"0",AVERAGEIF(D362:O362,"&lt;&gt;0",D362:O362))</f>
      </c>
      <c r="Q362" s="29"/>
    </row>
    <row customHeight="true" ht="19" r="363">
      <c r="A363" s="15">
        <v>345</v>
      </c>
      <c r="B363" s="30" t="str">
        <v>吉林</v>
      </c>
      <c r="C363" s="27" t="str">
        <v>（2）历史偏差电费折价</v>
      </c>
      <c r="D363" s="30">
        <v>0</v>
      </c>
      <c r="E363" s="30">
        <v>0</v>
      </c>
      <c r="F363" s="30">
        <v>0.001142</v>
      </c>
      <c r="G363" s="30">
        <v>-0.003582</v>
      </c>
      <c r="H363" s="30">
        <v>0.007016</v>
      </c>
      <c r="I363" s="30">
        <v>0.000493</v>
      </c>
      <c r="J363" s="30">
        <v>-0.005142</v>
      </c>
      <c r="K363" s="30">
        <v>0.023279</v>
      </c>
      <c r="L363" s="30">
        <v>-0.00206</v>
      </c>
      <c r="M363" s="30">
        <v>0.001097</v>
      </c>
      <c r="N363" s="30">
        <v>-0.000831</v>
      </c>
      <c r="O363" s="30">
        <v>-0.002108</v>
      </c>
      <c r="P363" s="30">
        <f>IF(SUM(D363:O363)=0,"0",AVERAGEIF(D363:O363,"&lt;&gt;0",D363:O363))</f>
      </c>
      <c r="Q363" s="29"/>
    </row>
    <row customHeight="true" ht="19" r="364">
      <c r="A364" s="15">
        <v>346</v>
      </c>
      <c r="B364" s="30" t="str">
        <v>吉林</v>
      </c>
      <c r="C364" s="27" t="str">
        <v>上网环节线损费用折价</v>
      </c>
      <c r="D364" s="30">
        <v>0.026198</v>
      </c>
      <c r="E364" s="30">
        <v>0.027853</v>
      </c>
      <c r="F364" s="30">
        <v>0.025589</v>
      </c>
      <c r="G364" s="30">
        <v>0.025632</v>
      </c>
      <c r="H364" s="30">
        <v>0.024663</v>
      </c>
      <c r="I364" s="30">
        <v>0.02428</v>
      </c>
      <c r="J364" s="30">
        <v>0.023983</v>
      </c>
      <c r="K364" s="30">
        <v>0.024908</v>
      </c>
      <c r="L364" s="30">
        <v>0.023866</v>
      </c>
      <c r="M364" s="30">
        <v>0.023966</v>
      </c>
      <c r="N364" s="30">
        <v>0.024415</v>
      </c>
      <c r="O364" s="30">
        <v>0.02494</v>
      </c>
      <c r="P364" s="30">
        <f>IF(SUM(D364:O364)=0,"0",AVERAGEIF(D364:O364,"&lt;&gt;0",D364:O364))</f>
      </c>
      <c r="Q364" s="29"/>
    </row>
    <row r="365">
      <c r="A365" s="15">
        <v>347</v>
      </c>
      <c r="B365" s="30" t="str">
        <v>吉林</v>
      </c>
      <c r="C365" s="27" t="str">
        <v>系统运行费用折合度电水平</v>
      </c>
      <c r="D365" s="30">
        <f>SUM(D366:D381)</f>
      </c>
      <c r="E365" s="30">
        <f>SUM(E366:E381)</f>
      </c>
      <c r="F365" s="30">
        <f>SUM(F366:F381)</f>
      </c>
      <c r="G365" s="30">
        <f>SUM(G366:G381)</f>
      </c>
      <c r="H365" s="30">
        <f>SUM(H366:H381)</f>
      </c>
      <c r="I365" s="30">
        <f>SUM(I366:I381)</f>
      </c>
      <c r="J365" s="30">
        <f>SUM(J366:J381)</f>
      </c>
      <c r="K365" s="30">
        <f>SUM(K366:K381)</f>
      </c>
      <c r="L365" s="30">
        <f>SUM(L366:L381)</f>
      </c>
      <c r="M365" s="30">
        <f>SUM(M366:M381)</f>
      </c>
      <c r="N365" s="30">
        <f>SUM(N366:N381)</f>
      </c>
      <c r="O365" s="30">
        <f>SUM(O366:O381)</f>
      </c>
      <c r="P365" s="30">
        <f>IF(SUM(D365:O365)=0,"0",AVERAGEIF(D365:O365,"&lt;&gt;0",D365:O365))</f>
      </c>
      <c r="Q365" s="29"/>
    </row>
    <row customHeight="true" ht="19" r="366">
      <c r="A366" s="15">
        <v>348</v>
      </c>
      <c r="B366" s="30" t="str">
        <v>吉林</v>
      </c>
      <c r="C366" s="27" t="str">
        <v>（1）辅助服务费用折合度电水平</v>
      </c>
      <c r="D366" s="30">
        <v>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f>IF(SUM(D366:O366)=0,"0",AVERAGEIF(D366:O366,"&lt;&gt;0",D366:O366))</f>
      </c>
      <c r="Q366" s="29"/>
    </row>
    <row customHeight="true" ht="19" r="367">
      <c r="A367" s="15">
        <v>349</v>
      </c>
      <c r="B367" s="30" t="str">
        <v>吉林</v>
      </c>
      <c r="C367" s="27" t="str">
        <v>（2）抽水蓄能容量电费折合度电水平</v>
      </c>
      <c r="D367" s="30">
        <v>0.01005</v>
      </c>
      <c r="E367" s="30">
        <v>0.012546</v>
      </c>
      <c r="F367" s="30">
        <v>0.011282</v>
      </c>
      <c r="G367" s="30">
        <v>0.014524</v>
      </c>
      <c r="H367" s="30">
        <v>0.014349</v>
      </c>
      <c r="I367" s="30">
        <v>0.012299</v>
      </c>
      <c r="J367" s="30">
        <v>0.012912</v>
      </c>
      <c r="K367" s="30">
        <v>0.01077</v>
      </c>
      <c r="L367" s="30">
        <v>0.01184</v>
      </c>
      <c r="M367" s="30">
        <v>0.012573</v>
      </c>
      <c r="N367" s="30">
        <v>0.010689</v>
      </c>
      <c r="O367" s="30">
        <v>0.009671</v>
      </c>
      <c r="P367" s="30">
        <f>IF(SUM(D367:O367)=0,"0",AVERAGEIF(D367:O367,"&lt;&gt;0",D367:O367))</f>
      </c>
      <c r="Q367" s="29"/>
    </row>
    <row customHeight="true" ht="19" r="368">
      <c r="A368" s="15">
        <v>350</v>
      </c>
      <c r="B368" s="30" t="str">
        <v>吉林</v>
      </c>
      <c r="C368" s="27" t="str">
        <v>（3）上网环节线损代理采购损益折合度电水平</v>
      </c>
      <c r="D368" s="30">
        <v>-0.00122</v>
      </c>
      <c r="E368" s="30">
        <v>0.000885</v>
      </c>
      <c r="F368" s="30">
        <v>-0.002549</v>
      </c>
      <c r="G368" s="30">
        <v>-0.001892</v>
      </c>
      <c r="H368" s="30">
        <v>-0.002347</v>
      </c>
      <c r="I368" s="30">
        <v>-0.000338</v>
      </c>
      <c r="J368" s="30">
        <v>-0.002055</v>
      </c>
      <c r="K368" s="30">
        <v>-0.009962</v>
      </c>
      <c r="L368" s="30">
        <v>-0.000338</v>
      </c>
      <c r="M368" s="30">
        <v>0.000146</v>
      </c>
      <c r="N368" s="30">
        <v>-0.000188</v>
      </c>
      <c r="O368" s="30">
        <v>-0.000441</v>
      </c>
      <c r="P368" s="30">
        <f>IF(SUM(D368:O368)=0,"0",AVERAGEIF(D368:O368,"&lt;&gt;0",D368:O368))</f>
      </c>
      <c r="Q368" s="29"/>
    </row>
    <row customHeight="true" ht="19" r="369">
      <c r="A369" s="15">
        <v>351</v>
      </c>
      <c r="B369" s="30" t="str">
        <v>吉林</v>
      </c>
      <c r="C369" s="27" t="str">
        <v>（4）电价交叉补贴新增损益折合度电水平</v>
      </c>
      <c r="D369" s="30">
        <v>0.010423</v>
      </c>
      <c r="E369" s="30">
        <v>0.047957</v>
      </c>
      <c r="F369" s="30">
        <v>0.022031</v>
      </c>
      <c r="G369" s="30">
        <v>0.019868</v>
      </c>
      <c r="H369" s="30">
        <v>0.019045</v>
      </c>
      <c r="I369" s="30">
        <v>0.014816</v>
      </c>
      <c r="J369" s="30">
        <v>-0.001547</v>
      </c>
      <c r="K369" s="30">
        <v>-0.012177</v>
      </c>
      <c r="L369" s="30">
        <v>-0.002782</v>
      </c>
      <c r="M369" s="30">
        <v>0.000074</v>
      </c>
      <c r="N369" s="30">
        <v>-0.008795</v>
      </c>
      <c r="O369" s="30">
        <v>-0.0004</v>
      </c>
      <c r="P369" s="30">
        <f>IF(SUM(D369:O369)=0,"0",AVERAGEIF(D369:O369,"&lt;&gt;0",D369:O369))</f>
      </c>
      <c r="Q369" s="29"/>
    </row>
    <row customHeight="true" ht="19" r="370">
      <c r="A370" s="15">
        <v>352</v>
      </c>
      <c r="B370" s="30" t="str">
        <v>吉林</v>
      </c>
      <c r="C370" s="27" t="str">
        <v>（5）煤电容量电费折合度电水平</v>
      </c>
      <c r="D370" s="30">
        <v>0.027576</v>
      </c>
      <c r="E370" s="30">
        <v>0.024954</v>
      </c>
      <c r="F370" s="30">
        <v>0.027096</v>
      </c>
      <c r="G370" s="30">
        <v>0.043753</v>
      </c>
      <c r="H370" s="30">
        <v>0.028166</v>
      </c>
      <c r="I370" s="30">
        <v>0.02381</v>
      </c>
      <c r="J370" s="30">
        <v>0.044456</v>
      </c>
      <c r="K370" s="30">
        <v>0.034347</v>
      </c>
      <c r="L370" s="30">
        <v>0.026111</v>
      </c>
      <c r="M370" s="30">
        <v>0.024464</v>
      </c>
      <c r="N370" s="30">
        <v>0.027325</v>
      </c>
      <c r="O370" s="30">
        <v>0.025201</v>
      </c>
      <c r="P370" s="30">
        <f>IF(SUM(D370:O370)=0,"0",AVERAGEIF(D370:O370,"&lt;&gt;0",D370:O370))</f>
      </c>
      <c r="Q370" s="29"/>
    </row>
    <row customHeight="true" ht="19" r="371">
      <c r="A371" s="15">
        <v>353</v>
      </c>
      <c r="B371" s="30" t="str">
        <v>吉林</v>
      </c>
      <c r="C371" s="27" t="str">
        <v>（6）天然气发电容量电费折合度电水平</v>
      </c>
      <c r="D371" s="30">
        <v>0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f>IF(SUM(D371:O371)=0,"0",AVERAGEIF(D371:O371,"&lt;&gt;0",D371:O371))</f>
      </c>
      <c r="Q371" s="29"/>
    </row>
    <row customHeight="true" ht="19" r="372">
      <c r="A372" s="15">
        <v>354</v>
      </c>
      <c r="B372" s="30" t="str">
        <v>吉林</v>
      </c>
      <c r="C372" s="27" t="str">
        <v>（7）水电合约价差损益折合度电水平</v>
      </c>
      <c r="D372" s="30">
        <v>0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f>IF(SUM(D372:O372)=0,"0",AVERAGEIF(D372:O372,"&lt;&gt;0",D372:O372))</f>
      </c>
      <c r="Q372" s="29"/>
    </row>
    <row customHeight="true" ht="19" r="373">
      <c r="A373" s="15">
        <v>355</v>
      </c>
      <c r="B373" s="30" t="str">
        <v>吉林</v>
      </c>
      <c r="C373" s="27" t="str">
        <v>（8）独立储能容量电费折合度电水平</v>
      </c>
      <c r="D373" s="30">
        <v>0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f>IF(SUM(D373:O373)=0,"0",AVERAGEIF(D373:O373,"&lt;&gt;0",D373:O373))</f>
      </c>
      <c r="Q373" s="29"/>
    </row>
    <row customHeight="true" ht="19" r="374">
      <c r="A374" s="15">
        <v>356</v>
      </c>
      <c r="B374" s="30" t="str">
        <v>吉林</v>
      </c>
      <c r="C374" s="27" t="str">
        <v>（9）工商业峰谷分时损益折合度电水平</v>
      </c>
      <c r="D374" s="30">
        <v>0</v>
      </c>
      <c r="E374" s="30">
        <v>-0.02006</v>
      </c>
      <c r="F374" s="30">
        <v>0.009637</v>
      </c>
      <c r="G374" s="30">
        <v>0.003714</v>
      </c>
      <c r="H374" s="30">
        <v>0.002051</v>
      </c>
      <c r="I374" s="30">
        <v>0.000616</v>
      </c>
      <c r="J374" s="30">
        <v>0.000036</v>
      </c>
      <c r="K374" s="30">
        <v>-0.00006</v>
      </c>
      <c r="L374" s="30">
        <v>-0.000004</v>
      </c>
      <c r="M374" s="30">
        <v>0.000009</v>
      </c>
      <c r="N374" s="30">
        <v>0.000013</v>
      </c>
      <c r="O374" s="30">
        <v>0.004589</v>
      </c>
      <c r="P374" s="30">
        <f>IF(SUM(D374:O374)=0,"0",AVERAGEIF(D374:O374,"&lt;&gt;0",D374:O374))</f>
      </c>
      <c r="Q374" s="29"/>
    </row>
    <row customHeight="true" ht="19" r="375">
      <c r="A375" s="15">
        <v>357</v>
      </c>
      <c r="B375" s="30" t="str">
        <v>吉林</v>
      </c>
      <c r="C375" s="27" t="str">
        <v>（10）功率因数调整电费损益折合度电水平</v>
      </c>
      <c r="D375" s="30">
        <v>0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f>IF(SUM(D375:O375)=0,"0",AVERAGEIF(D375:O375,"&lt;&gt;0",D375:O375))</f>
      </c>
      <c r="Q375" s="29"/>
    </row>
    <row customHeight="true" ht="19" r="376">
      <c r="A376" s="15">
        <v>358</v>
      </c>
      <c r="B376" s="30" t="str">
        <v>吉林</v>
      </c>
      <c r="C376" s="27" t="str">
        <v>（11）新能源可持续发展价格结算机制差价结算费用折合度电水平</v>
      </c>
      <c r="D376" s="30">
        <v>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f>IF(SUM(D376:O376)=0,"0",AVERAGEIF(D376:O376,"&lt;&gt;0",D376:O376))</f>
      </c>
      <c r="Q376" s="29"/>
    </row>
    <row customHeight="true" ht="19" r="377">
      <c r="A377" s="15">
        <v>359</v>
      </c>
      <c r="B377" s="30" t="str">
        <v>吉林</v>
      </c>
      <c r="C377" s="27" t="str">
        <v>（12）趸售电价损益折合度电水平</v>
      </c>
      <c r="D377" s="30">
        <v>0.000785</v>
      </c>
      <c r="E377" s="30">
        <v>0.001395</v>
      </c>
      <c r="F377" s="30">
        <v>0.000938</v>
      </c>
      <c r="G377" s="30">
        <v>0.000151</v>
      </c>
      <c r="H377" s="30">
        <v>0.000466</v>
      </c>
      <c r="I377" s="30">
        <v>0.000942</v>
      </c>
      <c r="J377" s="30">
        <v>0.000503</v>
      </c>
      <c r="K377" s="30">
        <v>0.000105</v>
      </c>
      <c r="L377" s="30">
        <v>0.000509</v>
      </c>
      <c r="M377" s="30">
        <v>0.000892</v>
      </c>
      <c r="N377" s="30">
        <v>0.000442</v>
      </c>
      <c r="O377" s="30">
        <v>0.000733</v>
      </c>
      <c r="P377" s="30">
        <f>IF(SUM(D377:O377)=0,"0",AVERAGEIF(D377:O377,"&lt;&gt;0",D377:O377))</f>
      </c>
      <c r="Q377" s="29"/>
    </row>
    <row customHeight="true" ht="19" r="378">
      <c r="A378" s="15">
        <v>360</v>
      </c>
      <c r="B378" s="30" t="str">
        <v>吉林</v>
      </c>
      <c r="C378" s="27" t="str">
        <v>（13）代理购电价格新增损益折合度电水平</v>
      </c>
      <c r="D378" s="30">
        <v>0.003052</v>
      </c>
      <c r="E378" s="30">
        <v>0.003543</v>
      </c>
      <c r="F378" s="30">
        <v>-0.000012</v>
      </c>
      <c r="G378" s="30">
        <v>0.007512</v>
      </c>
      <c r="H378" s="30">
        <v>0.017152</v>
      </c>
      <c r="I378" s="30">
        <v>0.026832</v>
      </c>
      <c r="J378" s="30">
        <v>0.017808</v>
      </c>
      <c r="K378" s="30">
        <v>0.013823</v>
      </c>
      <c r="L378" s="30">
        <v>0.019234</v>
      </c>
      <c r="M378" s="30">
        <v>-0.00199</v>
      </c>
      <c r="N378" s="30">
        <v>0.004712</v>
      </c>
      <c r="O378" s="30">
        <v>0.019019</v>
      </c>
      <c r="P378" s="30">
        <f>IF(SUM(D378:O378)=0,"0",AVERAGEIF(D378:O378,"&lt;&gt;0",D378:O378))</f>
      </c>
      <c r="Q378" s="29"/>
    </row>
    <row customHeight="true" ht="19" r="379">
      <c r="A379" s="15">
        <v>360</v>
      </c>
      <c r="B379" s="30" t="str">
        <v>吉林</v>
      </c>
      <c r="C379" s="27" t="str">
        <v>（14）跨省跨区应急调度价差损益折合度电水平</v>
      </c>
      <c r="D379" s="30">
        <v>0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f>IF(SUM(D379:O379)=0,"0",AVERAGEIF(D379:O379,"&lt;&gt;0",D379:O379))</f>
      </c>
      <c r="Q379" s="29"/>
    </row>
    <row customHeight="true" ht="19" r="380">
      <c r="A380" s="15">
        <v>361</v>
      </c>
      <c r="B380" s="30" t="str">
        <v>吉林</v>
      </c>
      <c r="C380" s="27" t="str">
        <v>（15）剩余优先发电价差损益度电水平</v>
      </c>
      <c r="D380" s="30">
        <v>0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f>IF(SUM(D380:O380)=0,"0",AVERAGEIF(D380:O380,"&lt;&gt;0",D380:O380))</f>
      </c>
      <c r="Q380" s="29"/>
    </row>
    <row customHeight="true" ht="19" r="381">
      <c r="A381" s="15">
        <v>362</v>
      </c>
      <c r="B381" s="30" t="str">
        <v>吉林</v>
      </c>
      <c r="C381" s="27" t="str">
        <v>（16）其他费用折合度电水平</v>
      </c>
      <c r="D381" s="30">
        <v>0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f>IF(SUM(D381:O381)=0,"0",AVERAGEIF(D381:O381,"&lt;&gt;0",D381:O381))</f>
      </c>
      <c r="Q381" s="29"/>
    </row>
    <row r="382">
      <c r="A382" s="15">
        <v>363</v>
      </c>
      <c r="B382" s="15" t="str">
        <v>黑龙江</v>
      </c>
      <c r="C382" s="16" t="str">
        <v>代理工商业购电价格</v>
      </c>
      <c r="D382" s="15">
        <f>D383+D384</f>
      </c>
      <c r="E382" s="15">
        <f>E383+E384</f>
      </c>
      <c r="F382" s="15">
        <f>F383+F384</f>
      </c>
      <c r="G382" s="15">
        <f>G383+G384</f>
      </c>
      <c r="H382" s="15">
        <f>H383+H384</f>
      </c>
      <c r="I382" s="15">
        <f>I383+I384</f>
      </c>
      <c r="J382" s="15">
        <f>J383+J384</f>
      </c>
      <c r="K382" s="15">
        <f>K383+K384</f>
      </c>
      <c r="L382" s="15">
        <f>L383+L384</f>
      </c>
      <c r="M382" s="15">
        <f>M383+M384</f>
      </c>
      <c r="N382" s="15">
        <f>N383+N384</f>
      </c>
      <c r="O382" s="15">
        <f>O383+O384</f>
      </c>
      <c r="P382" s="15">
        <f>IF(SUM(D382:O382)=0,"0",AVERAGEIF(D382:O382,"&lt;&gt;0",D382:O382))</f>
      </c>
      <c r="Q382" s="14"/>
    </row>
    <row customHeight="true" ht="19" r="383">
      <c r="A383" s="15">
        <v>364</v>
      </c>
      <c r="B383" s="15" t="str">
        <v>黑龙江</v>
      </c>
      <c r="C383" s="16" t="str">
        <v>（1）当月平均购电价格</v>
      </c>
      <c r="D383" s="15">
        <v>0.389093</v>
      </c>
      <c r="E383" s="15">
        <v>0.389094</v>
      </c>
      <c r="F383" s="15">
        <v>0.389034</v>
      </c>
      <c r="G383" s="15">
        <v>0.389088</v>
      </c>
      <c r="H383" s="15">
        <v>0.387031</v>
      </c>
      <c r="I383" s="15">
        <v>0.389081</v>
      </c>
      <c r="J383" s="15">
        <v>0.389064</v>
      </c>
      <c r="K383" s="15">
        <v>0.389045</v>
      </c>
      <c r="L383" s="15">
        <v>0.389071</v>
      </c>
      <c r="M383" s="15">
        <v>0.39994</v>
      </c>
      <c r="N383" s="15">
        <v>0.389079</v>
      </c>
      <c r="O383" s="15">
        <v>0.389078</v>
      </c>
      <c r="P383" s="15">
        <f>IF(SUM(D383:O383)=0,"0",AVERAGEIF(D383:O383,"&lt;&gt;0",D383:O383))</f>
      </c>
      <c r="Q383" s="14"/>
    </row>
    <row customHeight="true" ht="19" r="384">
      <c r="A384" s="15">
        <v>365</v>
      </c>
      <c r="B384" s="15" t="str">
        <v>黑龙江</v>
      </c>
      <c r="C384" s="16" t="str">
        <v>（2）历史偏差电费折价</v>
      </c>
      <c r="D384" s="15">
        <v>0.000466</v>
      </c>
      <c r="E384" s="15">
        <v>-0.000535</v>
      </c>
      <c r="F384" s="15">
        <v>-0.005117</v>
      </c>
      <c r="G384" s="15">
        <v>0.002972</v>
      </c>
      <c r="H384" s="15">
        <v>0.012687</v>
      </c>
      <c r="I384" s="15">
        <v>0.012766</v>
      </c>
      <c r="J384" s="15">
        <v>0.001167</v>
      </c>
      <c r="K384" s="15">
        <v>0.006943</v>
      </c>
      <c r="L384" s="15">
        <v>0.000833</v>
      </c>
      <c r="M384" s="15">
        <v>-0.004467</v>
      </c>
      <c r="N384" s="15">
        <v>0.011238</v>
      </c>
      <c r="O384" s="15">
        <v>0.017307</v>
      </c>
      <c r="P384" s="15">
        <f>IF(SUM(D384:O384)=0,"0",AVERAGEIF(D384:O384,"&lt;&gt;0",D384:O384))</f>
      </c>
      <c r="Q384" s="14"/>
    </row>
    <row customHeight="true" ht="19" r="385">
      <c r="A385" s="15">
        <v>366</v>
      </c>
      <c r="B385" s="15" t="str">
        <v>黑龙江</v>
      </c>
      <c r="C385" s="16" t="str">
        <v>上网环节线损费用折价</v>
      </c>
      <c r="D385" s="15">
        <v>0.027169</v>
      </c>
      <c r="E385" s="15">
        <v>0.027031</v>
      </c>
      <c r="F385" s="15">
        <v>0.034067</v>
      </c>
      <c r="G385" s="15">
        <v>0.027063</v>
      </c>
      <c r="H385" s="15">
        <v>0.024484</v>
      </c>
      <c r="I385" s="15">
        <v>0.025422</v>
      </c>
      <c r="J385" s="15">
        <v>0.026368</v>
      </c>
      <c r="K385" s="15">
        <v>0.027248</v>
      </c>
      <c r="L385" s="15">
        <v>0.029945</v>
      </c>
      <c r="M385" s="15">
        <v>0.025447</v>
      </c>
      <c r="N385" s="15">
        <v>0.019518</v>
      </c>
      <c r="O385" s="15">
        <v>0.023214</v>
      </c>
      <c r="P385" s="15">
        <f>IF(SUM(D385:O385)=0,"0",AVERAGEIF(D385:O385,"&lt;&gt;0",D385:O385))</f>
      </c>
      <c r="Q385" s="14"/>
    </row>
    <row r="386">
      <c r="A386" s="15">
        <v>367</v>
      </c>
      <c r="B386" s="15" t="str">
        <v>黑龙江</v>
      </c>
      <c r="C386" s="16" t="str">
        <v>系统运行费用折合度电水平</v>
      </c>
      <c r="D386" s="15">
        <f>SUM(D387:D402)</f>
      </c>
      <c r="E386" s="15">
        <f>SUM(E387:E402)</f>
      </c>
      <c r="F386" s="15">
        <f>SUM(F387:F402)</f>
      </c>
      <c r="G386" s="15">
        <f>SUM(G387:G402)</f>
      </c>
      <c r="H386" s="15">
        <f>SUM(H387:H402)</f>
      </c>
      <c r="I386" s="15">
        <f>SUM(I387:I402)</f>
      </c>
      <c r="J386" s="15">
        <f>SUM(J387:J402)</f>
      </c>
      <c r="K386" s="15">
        <f>SUM(K387:K402)</f>
      </c>
      <c r="L386" s="15">
        <f>SUM(L387:L402)</f>
      </c>
      <c r="M386" s="15">
        <f>SUM(M387:M402)</f>
      </c>
      <c r="N386" s="15">
        <f>SUM(N387:N402)</f>
      </c>
      <c r="O386" s="15">
        <f>SUM(O387:O402)</f>
      </c>
      <c r="P386" s="15">
        <f>IF(SUM(D386:O386)=0,"0",AVERAGEIF(D386:O386,"&lt;&gt;0",D386:O386))</f>
      </c>
      <c r="Q386" s="14"/>
    </row>
    <row customHeight="true" ht="19" r="387">
      <c r="A387" s="15">
        <v>368</v>
      </c>
      <c r="B387" s="15" t="str">
        <v>黑龙江</v>
      </c>
      <c r="C387" s="16" t="str">
        <v>（1）辅助服务费用折合度电水平</v>
      </c>
      <c r="D387" s="15">
        <v>0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f>IF(SUM(D387:O387)=0,"0",AVERAGEIF(D387:O387,"&lt;&gt;0",D387:O387))</f>
      </c>
      <c r="Q387" s="14"/>
    </row>
    <row customHeight="true" ht="19" r="388">
      <c r="A388" s="15">
        <v>369</v>
      </c>
      <c r="B388" s="15" t="str">
        <v>黑龙江</v>
      </c>
      <c r="C388" s="16" t="str">
        <v>（2）抽水蓄能容量电费折合度电水平</v>
      </c>
      <c r="D388" s="15">
        <v>0.011936</v>
      </c>
      <c r="E388" s="15">
        <v>0.012789</v>
      </c>
      <c r="F388" s="15">
        <v>0.01206</v>
      </c>
      <c r="G388" s="15">
        <v>0.013016</v>
      </c>
      <c r="H388" s="15">
        <v>0.012856</v>
      </c>
      <c r="I388" s="15">
        <v>0.006944</v>
      </c>
      <c r="J388" s="15">
        <v>0.009922</v>
      </c>
      <c r="K388" s="15">
        <v>0.009339</v>
      </c>
      <c r="L388" s="15">
        <v>0.011936</v>
      </c>
      <c r="M388" s="15">
        <v>0.012219</v>
      </c>
      <c r="N388" s="15">
        <v>0.009816</v>
      </c>
      <c r="O388" s="15">
        <v>0.008006</v>
      </c>
      <c r="P388" s="15">
        <f>IF(SUM(D388:O388)=0,"0",AVERAGEIF(D388:O388,"&lt;&gt;0",D388:O388))</f>
      </c>
      <c r="Q388" s="14"/>
    </row>
    <row customHeight="true" ht="19" r="389">
      <c r="A389" s="15">
        <v>370</v>
      </c>
      <c r="B389" s="15" t="str">
        <v>黑龙江</v>
      </c>
      <c r="C389" s="16" t="str">
        <v>（3）上网环节线损代理采购损益折合度电水平</v>
      </c>
      <c r="D389" s="15">
        <v>0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f>IF(SUM(D389:O389)=0,"0",AVERAGEIF(D389:O389,"&lt;&gt;0",D389:O389))</f>
      </c>
      <c r="Q389" s="14"/>
    </row>
    <row customHeight="true" ht="19" r="390">
      <c r="A390" s="15">
        <v>371</v>
      </c>
      <c r="B390" s="15" t="str">
        <v>黑龙江</v>
      </c>
      <c r="C390" s="16" t="str">
        <v>（4）电价交叉补贴新增损益折合度电水平</v>
      </c>
      <c r="D390" s="15">
        <v>0.006764</v>
      </c>
      <c r="E390" s="15">
        <v>0.005743</v>
      </c>
      <c r="F390" s="15">
        <v>0.008535</v>
      </c>
      <c r="G390" s="15">
        <v>-0.000025</v>
      </c>
      <c r="H390" s="15">
        <v>-0.006735</v>
      </c>
      <c r="I390" s="15">
        <v>-0.000697</v>
      </c>
      <c r="J390" s="15">
        <v>0.011348</v>
      </c>
      <c r="K390" s="15">
        <v>0.00246</v>
      </c>
      <c r="L390" s="15">
        <v>0.005219</v>
      </c>
      <c r="M390" s="15">
        <v>0.002427</v>
      </c>
      <c r="N390" s="15">
        <v>-0.002072</v>
      </c>
      <c r="O390" s="15">
        <v>-0.001772</v>
      </c>
      <c r="P390" s="15">
        <f>IF(SUM(D390:O390)=0,"0",AVERAGEIF(D390:O390,"&lt;&gt;0",D390:O390))</f>
      </c>
      <c r="Q390" s="14"/>
    </row>
    <row customHeight="true" ht="19" r="391">
      <c r="A391" s="15">
        <v>372</v>
      </c>
      <c r="B391" s="15" t="str">
        <v>黑龙江</v>
      </c>
      <c r="C391" s="16" t="str">
        <v>（5）煤电容量电费折合度电水平</v>
      </c>
      <c r="D391" s="15">
        <v>0.022423</v>
      </c>
      <c r="E391" s="15">
        <v>0.024503</v>
      </c>
      <c r="F391" s="15">
        <v>0.023209</v>
      </c>
      <c r="G391" s="15">
        <v>0.029822</v>
      </c>
      <c r="H391" s="15">
        <v>0.030402</v>
      </c>
      <c r="I391" s="15">
        <v>0.031148</v>
      </c>
      <c r="J391" s="15">
        <v>0.027608</v>
      </c>
      <c r="K391" s="15">
        <v>0.025138</v>
      </c>
      <c r="L391" s="15">
        <v>0.026358</v>
      </c>
      <c r="M391" s="15">
        <v>0.029077</v>
      </c>
      <c r="N391" s="15">
        <v>0.027389</v>
      </c>
      <c r="O391" s="15">
        <v>0.019518</v>
      </c>
      <c r="P391" s="15">
        <f>IF(SUM(D391:O391)=0,"0",AVERAGEIF(D391:O391,"&lt;&gt;0",D391:O391))</f>
      </c>
      <c r="Q391" s="14"/>
    </row>
    <row customHeight="true" ht="19" r="392">
      <c r="A392" s="15">
        <v>373</v>
      </c>
      <c r="B392" s="15" t="str">
        <v>黑龙江</v>
      </c>
      <c r="C392" s="16" t="str">
        <v>（6）天然气发电容量电费折合度电水平</v>
      </c>
      <c r="D392" s="15">
        <v>0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f>IF(SUM(D392:O392)=0,"0",AVERAGEIF(D392:O392,"&lt;&gt;0",D392:O392))</f>
      </c>
      <c r="Q392" s="14"/>
    </row>
    <row customHeight="true" ht="19" r="393">
      <c r="A393" s="15">
        <v>374</v>
      </c>
      <c r="B393" s="15" t="str">
        <v>黑龙江</v>
      </c>
      <c r="C393" s="16" t="str">
        <v>（7）水电合约价差损益折合度电水平</v>
      </c>
      <c r="D393" s="15">
        <v>0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f>IF(SUM(D393:O393)=0,"0",AVERAGEIF(D393:O393,"&lt;&gt;0",D393:O393))</f>
      </c>
      <c r="Q393" s="14"/>
    </row>
    <row customHeight="true" ht="19" r="394">
      <c r="A394" s="15">
        <v>375</v>
      </c>
      <c r="B394" s="15" t="str">
        <v>黑龙江</v>
      </c>
      <c r="C394" s="16" t="str">
        <v>（8）独立储能容量电费折合度电水平</v>
      </c>
      <c r="D394" s="15">
        <v>0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f>IF(SUM(D394:O394)=0,"0",AVERAGEIF(D394:O394,"&lt;&gt;0",D394:O394))</f>
      </c>
      <c r="Q394" s="14"/>
    </row>
    <row customHeight="true" ht="19" r="395">
      <c r="A395" s="15">
        <v>376</v>
      </c>
      <c r="B395" s="15" t="str">
        <v>黑龙江</v>
      </c>
      <c r="C395" s="16" t="str">
        <v>（9）工商业峰谷分时损益折合度电水平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f>IF(SUM(D395:O395)=0,"0",AVERAGEIF(D395:O395,"&lt;&gt;0",D395:O395))</f>
      </c>
      <c r="Q395" s="14"/>
    </row>
    <row customHeight="true" ht="19" r="396">
      <c r="A396" s="15">
        <v>377</v>
      </c>
      <c r="B396" s="15" t="str">
        <v>黑龙江</v>
      </c>
      <c r="C396" s="16" t="str">
        <v>（10）功率因数调整电费损益折合度电水平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f>IF(SUM(D396:O396)=0,"0",AVERAGEIF(D396:O396,"&lt;&gt;0",D396:O396))</f>
      </c>
      <c r="Q396" s="14"/>
    </row>
    <row customHeight="true" ht="19" r="397">
      <c r="A397" s="15">
        <v>378</v>
      </c>
      <c r="B397" s="15" t="str">
        <v>黑龙江</v>
      </c>
      <c r="C397" s="16" t="str">
        <v>（11）新能源可持续发展价格结算机制差价结算费用折合度电水平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f>IF(SUM(D397:O397)=0,"0",AVERAGEIF(D397:O397,"&lt;&gt;0",D397:O397))</f>
      </c>
      <c r="Q397" s="14"/>
    </row>
    <row customHeight="true" ht="19" r="398">
      <c r="A398" s="15">
        <v>379</v>
      </c>
      <c r="B398" s="15" t="str">
        <v>黑龙江</v>
      </c>
      <c r="C398" s="16" t="str">
        <v>（12）趸售电价损益折合度电水平</v>
      </c>
      <c r="D398" s="15">
        <v>0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f>IF(SUM(D398:O398)=0,"0",AVERAGEIF(D398:O398,"&lt;&gt;0",D398:O398))</f>
      </c>
      <c r="Q398" s="14"/>
    </row>
    <row customHeight="true" ht="19" r="399">
      <c r="A399" s="15">
        <v>380</v>
      </c>
      <c r="B399" s="15" t="str">
        <v>黑龙江</v>
      </c>
      <c r="C399" s="39" t="str">
        <v>（13）代理购电价格新增损益折合度电水平</v>
      </c>
      <c r="D399" s="15">
        <v>0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f>IF(SUM(D399:O399)=0,"0",AVERAGEIF(D399:O399,"&lt;&gt;0",D399:O399))</f>
      </c>
      <c r="Q399" s="14"/>
    </row>
    <row customHeight="true" ht="19" r="400">
      <c r="A400" s="15">
        <v>380</v>
      </c>
      <c r="B400" s="15" t="str">
        <v>黑龙江</v>
      </c>
      <c r="C400" s="39" t="str">
        <v>（14）跨省跨区应急调度价差损益折合度电水平</v>
      </c>
      <c r="D400" s="15">
        <v>0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f>IF(SUM(D400:O400)=0,"0",AVERAGEIF(D400:O400,"&lt;&gt;0",D400:O400))</f>
      </c>
      <c r="Q400" s="14"/>
    </row>
    <row customHeight="true" ht="19" r="401">
      <c r="A401" s="15">
        <v>381</v>
      </c>
      <c r="B401" s="15" t="str">
        <v>黑龙江</v>
      </c>
      <c r="C401" s="39" t="str">
        <v>（15）剩余优先发电价差损益度电水平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f>IF(SUM(D401:O401)=0,"0",AVERAGEIF(D401:O401,"&lt;&gt;0",D401:O401))</f>
      </c>
      <c r="Q401" s="14"/>
    </row>
    <row customHeight="true" ht="19" r="402">
      <c r="A402" s="15">
        <v>382</v>
      </c>
      <c r="B402" s="15" t="str">
        <v>黑龙江</v>
      </c>
      <c r="C402" s="39" t="str">
        <v>（16）其他费用折合度电水平</v>
      </c>
      <c r="D402" s="15">
        <v>0.009206</v>
      </c>
      <c r="E402" s="15">
        <v>0.008273</v>
      </c>
      <c r="F402" s="15">
        <v>0.00511</v>
      </c>
      <c r="G402" s="15">
        <v>0.005387</v>
      </c>
      <c r="H402" s="15">
        <v>0.008615</v>
      </c>
      <c r="I402" s="15">
        <v>0.004676</v>
      </c>
      <c r="J402" s="15">
        <v>0.003863</v>
      </c>
      <c r="K402" s="15">
        <v>0.009167</v>
      </c>
      <c r="L402" s="15">
        <v>-0.004022</v>
      </c>
      <c r="M402" s="15">
        <v>-0.005303</v>
      </c>
      <c r="N402" s="15">
        <v>0.004372</v>
      </c>
      <c r="O402" s="15">
        <v>0.003989</v>
      </c>
      <c r="P402" s="15">
        <f>IF(SUM(D402:O402)=0,"0",AVERAGEIF(D402:O402,"&lt;&gt;0",D402:O402))</f>
      </c>
      <c r="Q402" s="14"/>
    </row>
    <row r="403">
      <c r="A403" s="15">
        <v>383</v>
      </c>
      <c r="B403" s="30" t="str">
        <v>蒙东</v>
      </c>
      <c r="C403" s="27" t="str">
        <v>代理工商业购电价格</v>
      </c>
      <c r="D403" s="30">
        <f>D404+D405</f>
      </c>
      <c r="E403" s="30">
        <f>E404+E405</f>
      </c>
      <c r="F403" s="30">
        <f>F404+F405</f>
      </c>
      <c r="G403" s="30">
        <f>G404+G405</f>
      </c>
      <c r="H403" s="30">
        <f>H404+H405</f>
      </c>
      <c r="I403" s="30">
        <f>I404+I405</f>
      </c>
      <c r="J403" s="30">
        <f>J404+J405</f>
      </c>
      <c r="K403" s="30">
        <f>K404+K405</f>
      </c>
      <c r="L403" s="30">
        <f>L404+L405</f>
      </c>
      <c r="M403" s="30">
        <f>M404+M405</f>
      </c>
      <c r="N403" s="30">
        <f>N404+N405</f>
      </c>
      <c r="O403" s="30">
        <f>O404+O405</f>
      </c>
      <c r="P403" s="30">
        <f>IF(SUM(D403:O403)=0,"0",AVERAGEIF(D403:O403,"&lt;&gt;0",D403:O403))</f>
      </c>
      <c r="Q403" s="29"/>
    </row>
    <row customHeight="true" ht="19" r="404">
      <c r="A404" s="15">
        <v>384</v>
      </c>
      <c r="B404" s="30" t="str">
        <v>蒙东</v>
      </c>
      <c r="C404" s="27" t="str">
        <v>（1）当月平均购电价格</v>
      </c>
      <c r="D404" s="30">
        <v>0.259258</v>
      </c>
      <c r="E404" s="30">
        <v>0.275186</v>
      </c>
      <c r="F404" s="30">
        <v>0.275573</v>
      </c>
      <c r="G404" s="30">
        <v>0.271047</v>
      </c>
      <c r="H404" s="30">
        <v>0.278456</v>
      </c>
      <c r="I404" s="30">
        <v>0.281897</v>
      </c>
      <c r="J404" s="30">
        <v>0.283006</v>
      </c>
      <c r="K404" s="30">
        <v>0.287107</v>
      </c>
      <c r="L404" s="30">
        <v>0.284712</v>
      </c>
      <c r="M404" s="30">
        <v>0.275274</v>
      </c>
      <c r="N404" s="30">
        <v>0.276714</v>
      </c>
      <c r="O404" s="30">
        <v>0.280331</v>
      </c>
      <c r="P404" s="30">
        <f>IF(SUM(D404:O404)=0,"0",AVERAGEIF(D404:O404,"&lt;&gt;0",D404:O404))</f>
      </c>
      <c r="Q404" s="29"/>
    </row>
    <row customHeight="true" ht="19" r="405">
      <c r="A405" s="15">
        <v>385</v>
      </c>
      <c r="B405" s="30" t="str">
        <v>蒙东</v>
      </c>
      <c r="C405" s="27" t="str">
        <v>（2）历史偏差电费折价</v>
      </c>
      <c r="D405" s="30">
        <v>-0.013937</v>
      </c>
      <c r="E405" s="30">
        <v>-0.011367</v>
      </c>
      <c r="F405" s="30">
        <v>0.022088</v>
      </c>
      <c r="G405" s="30">
        <v>-0.006056</v>
      </c>
      <c r="H405" s="30">
        <v>0.007037</v>
      </c>
      <c r="I405" s="30">
        <v>0.011035</v>
      </c>
      <c r="J405" s="30">
        <v>0.002716</v>
      </c>
      <c r="K405" s="30">
        <v>0.011198</v>
      </c>
      <c r="L405" s="30">
        <v>-0.007418</v>
      </c>
      <c r="M405" s="30">
        <v>-0.013931</v>
      </c>
      <c r="N405" s="30">
        <v>0.002793</v>
      </c>
      <c r="O405" s="30">
        <v>0.018188</v>
      </c>
      <c r="P405" s="30">
        <f>IF(SUM(D405:O405)=0,"0",AVERAGEIF(D405:O405,"&lt;&gt;0",D405:O405))</f>
      </c>
      <c r="Q405" s="29"/>
    </row>
    <row customHeight="true" ht="19" r="406">
      <c r="A406" s="15">
        <v>386</v>
      </c>
      <c r="B406" s="30" t="str">
        <v>蒙东</v>
      </c>
      <c r="C406" s="27" t="str">
        <v>上网环节线损费用折价</v>
      </c>
      <c r="D406" s="30">
        <v>0.017757</v>
      </c>
      <c r="E406" s="30">
        <v>0.018848</v>
      </c>
      <c r="F406" s="30">
        <v>0.018874</v>
      </c>
      <c r="G406" s="30">
        <v>0.018564</v>
      </c>
      <c r="H406" s="30">
        <v>0.019072</v>
      </c>
      <c r="I406" s="30">
        <v>0.019307</v>
      </c>
      <c r="J406" s="30">
        <v>0.019383</v>
      </c>
      <c r="K406" s="30">
        <v>0.019664</v>
      </c>
      <c r="L406" s="30">
        <v>0.0195</v>
      </c>
      <c r="M406" s="30">
        <v>0.018854</v>
      </c>
      <c r="N406" s="30">
        <v>0.018952</v>
      </c>
      <c r="O406" s="30">
        <v>0.0192</v>
      </c>
      <c r="P406" s="30">
        <f>IF(SUM(D406:O406)=0,"0",AVERAGEIF(D406:O406,"&lt;&gt;0",D406:O406))</f>
      </c>
      <c r="Q406" s="29"/>
    </row>
    <row r="407">
      <c r="A407" s="15">
        <v>387</v>
      </c>
      <c r="B407" s="30" t="str">
        <v>蒙东</v>
      </c>
      <c r="C407" s="27" t="str">
        <v>系统运行费用折合度电水平</v>
      </c>
      <c r="D407" s="30">
        <f>SUM(D408:D423)</f>
      </c>
      <c r="E407" s="30">
        <f>SUM(E408:E423)</f>
      </c>
      <c r="F407" s="30">
        <f>SUM(F408:F423)</f>
      </c>
      <c r="G407" s="30">
        <f>SUM(G408:G423)</f>
      </c>
      <c r="H407" s="30">
        <f>SUM(H408:H423)</f>
      </c>
      <c r="I407" s="30">
        <f>SUM(I408:I423)</f>
      </c>
      <c r="J407" s="30">
        <f>SUM(J408:J423)</f>
      </c>
      <c r="K407" s="30">
        <f>SUM(K408:K423)</f>
      </c>
      <c r="L407" s="30">
        <f>SUM(L408:L423)</f>
      </c>
      <c r="M407" s="30">
        <f>SUM(M408:M423)</f>
      </c>
      <c r="N407" s="30">
        <f>SUM(N408:N423)</f>
      </c>
      <c r="O407" s="30">
        <f>SUM(O408:O423)</f>
      </c>
      <c r="P407" s="30">
        <f>IF(SUM(D407:O407)=0,"0",AVERAGEIF(D407:O407,"&lt;&gt;0",D407:O407))</f>
      </c>
      <c r="Q407" s="29"/>
    </row>
    <row customHeight="true" ht="19" r="408">
      <c r="A408" s="15">
        <v>388</v>
      </c>
      <c r="B408" s="30" t="str">
        <v>蒙东</v>
      </c>
      <c r="C408" s="27" t="str">
        <v>（1）辅助服务费用折合度电水平</v>
      </c>
      <c r="D408" s="30">
        <v>0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f>IF(SUM(D408:O408)=0,"0",AVERAGEIF(D408:O408,"&lt;&gt;0",D408:O408))</f>
      </c>
      <c r="Q408" s="29"/>
    </row>
    <row customHeight="true" ht="19" r="409">
      <c r="A409" s="15">
        <v>389</v>
      </c>
      <c r="B409" s="30" t="str">
        <v>蒙东</v>
      </c>
      <c r="C409" s="27" t="str">
        <v>（2）抽水蓄能容量电费折合度电水平</v>
      </c>
      <c r="D409" s="30">
        <v>0.00751</v>
      </c>
      <c r="E409" s="30">
        <v>0.013689</v>
      </c>
      <c r="F409" s="30">
        <v>0.01124</v>
      </c>
      <c r="G409" s="30">
        <v>0.007373</v>
      </c>
      <c r="H409" s="30">
        <v>0.009568</v>
      </c>
      <c r="I409" s="30">
        <v>0.010571</v>
      </c>
      <c r="J409" s="30">
        <v>0.010524</v>
      </c>
      <c r="K409" s="30">
        <v>0.010223</v>
      </c>
      <c r="L409" s="30">
        <v>0.009538</v>
      </c>
      <c r="M409" s="30">
        <v>0.009505</v>
      </c>
      <c r="N409" s="30">
        <v>0.009112</v>
      </c>
      <c r="O409" s="30">
        <v>0.007751</v>
      </c>
      <c r="P409" s="30">
        <f>IF(SUM(D409:O409)=0,"0",AVERAGEIF(D409:O409,"&lt;&gt;0",D409:O409))</f>
      </c>
      <c r="Q409" s="29"/>
    </row>
    <row customHeight="true" ht="19" r="410">
      <c r="A410" s="15">
        <v>390</v>
      </c>
      <c r="B410" s="30" t="str">
        <v>蒙东</v>
      </c>
      <c r="C410" s="27" t="str">
        <v>（3）上网环节线损代理采购损益折合度电水平</v>
      </c>
      <c r="D410" s="30">
        <v>-0.004442</v>
      </c>
      <c r="E410" s="30">
        <v>-0.002953</v>
      </c>
      <c r="F410" s="30">
        <v>-0.003887</v>
      </c>
      <c r="G410" s="30">
        <v>0.011784</v>
      </c>
      <c r="H410" s="30">
        <v>-0.001395</v>
      </c>
      <c r="I410" s="30">
        <v>0.000937</v>
      </c>
      <c r="J410" s="30">
        <v>0.001036</v>
      </c>
      <c r="K410" s="30">
        <v>0.002658</v>
      </c>
      <c r="L410" s="30">
        <v>0.005149</v>
      </c>
      <c r="M410" s="30">
        <v>0.002849</v>
      </c>
      <c r="N410" s="30">
        <v>0.000094</v>
      </c>
      <c r="O410" s="30">
        <v>0.003782</v>
      </c>
      <c r="P410" s="30">
        <f>IF(SUM(D410:O410)=0,"0",AVERAGEIF(D410:O410,"&lt;&gt;0",D410:O410))</f>
      </c>
      <c r="Q410" s="29"/>
    </row>
    <row customHeight="true" ht="19" r="411">
      <c r="A411" s="15">
        <v>391</v>
      </c>
      <c r="B411" s="30" t="str">
        <v>蒙东</v>
      </c>
      <c r="C411" s="27" t="str">
        <v>（4）电价交叉补贴新增损益折合度电水平</v>
      </c>
      <c r="D411" s="30">
        <v>0.010396</v>
      </c>
      <c r="E411" s="30">
        <v>0.019022</v>
      </c>
      <c r="F411" s="30">
        <v>0.033882</v>
      </c>
      <c r="G411" s="30">
        <v>0.039554</v>
      </c>
      <c r="H411" s="30">
        <v>0.010486</v>
      </c>
      <c r="I411" s="30">
        <v>0.00899</v>
      </c>
      <c r="J411" s="30">
        <v>0.036838</v>
      </c>
      <c r="K411" s="30">
        <v>0.024295</v>
      </c>
      <c r="L411" s="30">
        <v>0.032209</v>
      </c>
      <c r="M411" s="30">
        <v>0.017589</v>
      </c>
      <c r="N411" s="30">
        <v>0.004979</v>
      </c>
      <c r="O411" s="30">
        <v>-0.0094</v>
      </c>
      <c r="P411" s="30">
        <f>IF(SUM(D411:O411)=0,"0",AVERAGEIF(D411:O411,"&lt;&gt;0",D411:O411))</f>
      </c>
      <c r="Q411" s="29"/>
    </row>
    <row customHeight="true" ht="19" r="412">
      <c r="A412" s="15">
        <v>392</v>
      </c>
      <c r="B412" s="30" t="str">
        <v>蒙东</v>
      </c>
      <c r="C412" s="27" t="str">
        <v>（5）煤电容量电费折合度电水平</v>
      </c>
      <c r="D412" s="30">
        <v>0.026132</v>
      </c>
      <c r="E412" s="30">
        <v>0.026542</v>
      </c>
      <c r="F412" s="30">
        <v>0.002088</v>
      </c>
      <c r="G412" s="30">
        <v>0.004746</v>
      </c>
      <c r="H412" s="30">
        <v>0.019641</v>
      </c>
      <c r="I412" s="30">
        <v>0.015188</v>
      </c>
      <c r="J412" s="30">
        <v>0.016603</v>
      </c>
      <c r="K412" s="30">
        <v>0.024409</v>
      </c>
      <c r="L412" s="30">
        <v>0.029333</v>
      </c>
      <c r="M412" s="30">
        <v>0.026867</v>
      </c>
      <c r="N412" s="30">
        <v>0.013522</v>
      </c>
      <c r="O412" s="30">
        <v>0.014418</v>
      </c>
      <c r="P412" s="30">
        <f>IF(SUM(D412:O412)=0,"0",AVERAGEIF(D412:O412,"&lt;&gt;0",D412:O412))</f>
      </c>
      <c r="Q412" s="29"/>
    </row>
    <row customHeight="true" ht="19" r="413">
      <c r="A413" s="15">
        <v>393</v>
      </c>
      <c r="B413" s="30" t="str">
        <v>蒙东</v>
      </c>
      <c r="C413" s="27" t="str">
        <v>（6）天然气发电容量电费折合度电水平</v>
      </c>
      <c r="D413" s="30">
        <v>0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f>IF(SUM(D413:O413)=0,"0",AVERAGEIF(D413:O413,"&lt;&gt;0",D413:O413))</f>
      </c>
      <c r="Q413" s="29"/>
    </row>
    <row customHeight="true" ht="19" r="414">
      <c r="A414" s="15">
        <v>394</v>
      </c>
      <c r="B414" s="30" t="str">
        <v>蒙东</v>
      </c>
      <c r="C414" s="27" t="str">
        <v>（7）水电合约价差损益折合度电水平</v>
      </c>
      <c r="D414" s="30">
        <v>0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f>IF(SUM(D414:O414)=0,"0",AVERAGEIF(D414:O414,"&lt;&gt;0",D414:O414))</f>
      </c>
      <c r="Q414" s="29"/>
    </row>
    <row customHeight="true" ht="19" r="415">
      <c r="A415" s="15">
        <v>395</v>
      </c>
      <c r="B415" s="30" t="str">
        <v>蒙东</v>
      </c>
      <c r="C415" s="27" t="str">
        <v>（8）独立储能容量电费折合度电水平</v>
      </c>
      <c r="D415" s="30">
        <v>0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f>IF(SUM(D415:O415)=0,"0",AVERAGEIF(D415:O415,"&lt;&gt;0",D415:O415))</f>
      </c>
      <c r="Q415" s="29"/>
    </row>
    <row customHeight="true" ht="19" r="416">
      <c r="A416" s="15">
        <v>396</v>
      </c>
      <c r="B416" s="30" t="str">
        <v>蒙东</v>
      </c>
      <c r="C416" s="27" t="str">
        <v>（9）工商业峰谷分时损益折合度电水平</v>
      </c>
      <c r="D416" s="30">
        <v>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f>IF(SUM(D416:O416)=0,"0",AVERAGEIF(D416:O416,"&lt;&gt;0",D416:O416))</f>
      </c>
      <c r="Q416" s="29"/>
    </row>
    <row customHeight="true" ht="19" r="417">
      <c r="A417" s="15">
        <v>397</v>
      </c>
      <c r="B417" s="30" t="str">
        <v>蒙东</v>
      </c>
      <c r="C417" s="27" t="str">
        <v>（10）功率因数调整电费损益折合度电水平</v>
      </c>
      <c r="D417" s="30">
        <v>0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f>IF(SUM(D417:O417)=0,"0",AVERAGEIF(D417:O417,"&lt;&gt;0",D417:O417))</f>
      </c>
      <c r="Q417" s="29"/>
    </row>
    <row customHeight="true" ht="19" r="418">
      <c r="A418" s="15">
        <v>398</v>
      </c>
      <c r="B418" s="30" t="str">
        <v>蒙东</v>
      </c>
      <c r="C418" s="27" t="str">
        <v>（11）新能源可持续发展价格结算机制差价结算费用折合度电水平</v>
      </c>
      <c r="D418" s="30">
        <v>0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0.028096</v>
      </c>
      <c r="K418" s="30">
        <v>-0.027002</v>
      </c>
      <c r="L418" s="30">
        <v>0.025718</v>
      </c>
      <c r="M418" s="30">
        <v>0.023691</v>
      </c>
      <c r="N418" s="30">
        <v>0.028422</v>
      </c>
      <c r="O418" s="30">
        <v>0.029174</v>
      </c>
      <c r="P418" s="30">
        <f>IF(SUM(D418:O418)=0,"0",AVERAGEIF(D418:O418,"&lt;&gt;0",D418:O418))</f>
      </c>
      <c r="Q418" s="29"/>
    </row>
    <row customHeight="true" ht="19" r="419">
      <c r="A419" s="15">
        <v>399</v>
      </c>
      <c r="B419" s="30" t="str">
        <v>蒙东</v>
      </c>
      <c r="C419" s="27" t="str">
        <v>（12）趸售电价损益折合度电水平</v>
      </c>
      <c r="D419" s="30">
        <v>0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f>IF(SUM(D419:O419)=0,"0",AVERAGEIF(D419:O419,"&lt;&gt;0",D419:O419))</f>
      </c>
      <c r="Q419" s="29"/>
    </row>
    <row customHeight="true" ht="19" r="420">
      <c r="A420" s="15">
        <v>399</v>
      </c>
      <c r="B420" s="30" t="str">
        <v>蒙东</v>
      </c>
      <c r="C420" s="27" t="str">
        <v>（13）代理购电价格新增损益折合度电水平</v>
      </c>
      <c r="D420" s="30">
        <v>0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f>IF(SUM(D420:O420)=0,"0",AVERAGEIF(D420:O420,"&lt;&gt;0",D420:O420))</f>
      </c>
      <c r="Q420" s="29"/>
    </row>
    <row customHeight="true" ht="19" r="421">
      <c r="A421" s="15">
        <v>400</v>
      </c>
      <c r="B421" s="30" t="str">
        <v>蒙东</v>
      </c>
      <c r="C421" s="27" t="str">
        <v>（14）跨省跨区应急调度价差损益折合度电水平</v>
      </c>
      <c r="D421" s="30">
        <v>0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f>IF(SUM(D421:O421)=0,"0",AVERAGEIF(D421:O421,"&lt;&gt;0",D421:O421))</f>
      </c>
      <c r="Q421" s="29"/>
    </row>
    <row customHeight="true" ht="19" r="422">
      <c r="A422" s="15">
        <v>401</v>
      </c>
      <c r="B422" s="30" t="str">
        <v>蒙东</v>
      </c>
      <c r="C422" s="27" t="str">
        <v>（15）剩余优先发电价差损益度电水平</v>
      </c>
      <c r="D422" s="30">
        <v>0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f>IF(SUM(D422:O422)=0,"0",AVERAGEIF(D422:O422,"&lt;&gt;0",D422:O422))</f>
      </c>
      <c r="Q422" s="29"/>
    </row>
    <row customHeight="true" ht="19" r="423">
      <c r="A423" s="15">
        <v>402</v>
      </c>
      <c r="B423" s="30" t="str">
        <v>蒙东</v>
      </c>
      <c r="C423" s="27" t="str">
        <v>（16）其他费用折合度电水平</v>
      </c>
      <c r="D423" s="30">
        <v>0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f>IF(SUM(D423:O423)=0,"0",AVERAGEIF(D423:O423,"&lt;&gt;0",D423:O423))</f>
      </c>
      <c r="Q423" s="29"/>
    </row>
    <row r="424">
      <c r="A424" s="15">
        <v>403</v>
      </c>
      <c r="B424" s="15" t="str">
        <v>陕西</v>
      </c>
      <c r="C424" s="16" t="str">
        <v>代理工商业购电价格</v>
      </c>
      <c r="D424" s="15">
        <f>D425+D426</f>
      </c>
      <c r="E424" s="15">
        <f>E425+E426</f>
      </c>
      <c r="F424" s="15">
        <f>F425+F426</f>
      </c>
      <c r="G424" s="15">
        <f>G425+G426</f>
      </c>
      <c r="H424" s="15">
        <f>H425+H426</f>
      </c>
      <c r="I424" s="15">
        <f>I425+I426</f>
      </c>
      <c r="J424" s="15">
        <f>J425+J426</f>
      </c>
      <c r="K424" s="15">
        <f>K425+K426</f>
      </c>
      <c r="L424" s="15">
        <f>L425+L426</f>
      </c>
      <c r="M424" s="15">
        <f>M425+M426</f>
      </c>
      <c r="N424" s="15">
        <f>N425+N426</f>
      </c>
      <c r="O424" s="15">
        <f>O425+O426</f>
      </c>
      <c r="P424" s="15">
        <f>IF(SUM(D424:O424)=0,"0",AVERAGEIF(D424:O424,"&lt;&gt;0",D424:O424))</f>
      </c>
      <c r="Q424" s="14"/>
    </row>
    <row customHeight="true" ht="19" r="425">
      <c r="A425" s="15">
        <v>404</v>
      </c>
      <c r="B425" s="15" t="str">
        <v>陕西</v>
      </c>
      <c r="C425" s="16" t="str">
        <v>（1）当月平均购电价格</v>
      </c>
      <c r="D425" s="15">
        <v>0.38</v>
      </c>
      <c r="E425" s="15">
        <v>0.3559</v>
      </c>
      <c r="F425" s="15">
        <v>0.3519</v>
      </c>
      <c r="G425" s="15">
        <v>0.3272</v>
      </c>
      <c r="H425" s="15">
        <v>0.328</v>
      </c>
      <c r="I425" s="15">
        <v>0.3432</v>
      </c>
      <c r="J425" s="15">
        <v>0.3562</v>
      </c>
      <c r="K425" s="15">
        <v>0.3491</v>
      </c>
      <c r="L425" s="15">
        <v>0.3463</v>
      </c>
      <c r="M425" s="15">
        <v>0.3378</v>
      </c>
      <c r="N425" s="15">
        <v>0.3455</v>
      </c>
      <c r="O425" s="15">
        <v>0.3507</v>
      </c>
      <c r="P425" s="15">
        <f>IF(SUM(D425:O425)=0,"0",AVERAGEIF(D425:O425,"&lt;&gt;0",D425:O425))</f>
      </c>
      <c r="Q425" s="14"/>
    </row>
    <row customHeight="true" ht="19" r="426">
      <c r="A426" s="15">
        <v>405</v>
      </c>
      <c r="B426" s="15" t="str">
        <v>陕西</v>
      </c>
      <c r="C426" s="16" t="str">
        <v>（2）历史偏差电费折价</v>
      </c>
      <c r="D426" s="15">
        <v>0.0085</v>
      </c>
      <c r="E426" s="15">
        <v>0.0005</v>
      </c>
      <c r="F426" s="15">
        <v>-0.0078</v>
      </c>
      <c r="G426" s="15">
        <v>0.015</v>
      </c>
      <c r="H426" s="15">
        <v>0.0102</v>
      </c>
      <c r="I426" s="15">
        <v>0.033</v>
      </c>
      <c r="J426" s="15">
        <v>0.0358</v>
      </c>
      <c r="K426" s="15">
        <v>0.0059</v>
      </c>
      <c r="L426" s="15">
        <v>-0.0059</v>
      </c>
      <c r="M426" s="15">
        <v>-0.0083</v>
      </c>
      <c r="N426" s="15">
        <v>0.0894</v>
      </c>
      <c r="O426" s="15">
        <v>0.0689</v>
      </c>
      <c r="P426" s="15">
        <f>IF(SUM(D426:O426)=0,"0",AVERAGEIF(D426:O426,"&lt;&gt;0",D426:O426))</f>
      </c>
      <c r="Q426" s="14"/>
    </row>
    <row customHeight="true" ht="19" r="427">
      <c r="A427" s="15">
        <v>406</v>
      </c>
      <c r="B427" s="15" t="str">
        <v>陕西</v>
      </c>
      <c r="C427" s="16" t="str">
        <v>上网环节线损费用折价</v>
      </c>
      <c r="D427" s="15">
        <v>0.0168</v>
      </c>
      <c r="E427" s="15">
        <v>0.0158</v>
      </c>
      <c r="F427" s="15">
        <v>0.0156</v>
      </c>
      <c r="G427" s="15">
        <v>0.0145</v>
      </c>
      <c r="H427" s="15">
        <v>0.0145</v>
      </c>
      <c r="I427" s="15">
        <v>0.0152</v>
      </c>
      <c r="J427" s="15">
        <v>0.0158</v>
      </c>
      <c r="K427" s="15">
        <v>0.0155</v>
      </c>
      <c r="L427" s="15">
        <v>0.0153</v>
      </c>
      <c r="M427" s="15">
        <v>0.015</v>
      </c>
      <c r="N427" s="15">
        <v>0.0153</v>
      </c>
      <c r="O427" s="15">
        <v>0.0155</v>
      </c>
      <c r="P427" s="15">
        <f>IF(SUM(D427:O427)=0,"0",AVERAGEIF(D427:O427,"&lt;&gt;0",D427:O427))</f>
      </c>
      <c r="Q427" s="14"/>
    </row>
    <row r="428">
      <c r="A428" s="15">
        <v>407</v>
      </c>
      <c r="B428" s="15" t="str">
        <v>陕西</v>
      </c>
      <c r="C428" s="16" t="str">
        <v>系统运行费用折合度电水平</v>
      </c>
      <c r="D428" s="15">
        <f>SUM(D429:D444)</f>
      </c>
      <c r="E428" s="15">
        <f>SUM(E429:E444)</f>
      </c>
      <c r="F428" s="15">
        <f>SUM(F429:F444)</f>
      </c>
      <c r="G428" s="15">
        <f>SUM(G429:G444)</f>
      </c>
      <c r="H428" s="15">
        <f>SUM(H429:H444)</f>
      </c>
      <c r="I428" s="15">
        <f>SUM(I429:I444)</f>
      </c>
      <c r="J428" s="15">
        <f>SUM(J429:J444)</f>
      </c>
      <c r="K428" s="15">
        <f>SUM(K429:K444)</f>
      </c>
      <c r="L428" s="15">
        <f>SUM(L429:L444)</f>
      </c>
      <c r="M428" s="15">
        <f>SUM(M429:M444)</f>
      </c>
      <c r="N428" s="15">
        <f>SUM(N429:N444)</f>
      </c>
      <c r="O428" s="15">
        <f>SUM(O429:O444)</f>
      </c>
      <c r="P428" s="15">
        <f>IF(SUM(D428:O428)=0,"0",AVERAGEIF(D428:O428,"&lt;&gt;0",D428:O428))</f>
      </c>
      <c r="Q428" s="14"/>
    </row>
    <row customHeight="true" ht="19" r="429">
      <c r="A429" s="15">
        <v>408</v>
      </c>
      <c r="B429" s="15" t="str">
        <v>陕西</v>
      </c>
      <c r="C429" s="16" t="str">
        <v>（1）辅助服务费用折合度电水平</v>
      </c>
      <c r="D429" s="15">
        <v>0</v>
      </c>
      <c r="E429" s="15">
        <v>0</v>
      </c>
      <c r="F429" s="15">
        <v>0</v>
      </c>
      <c r="G429" s="15">
        <v>0</v>
      </c>
      <c r="H429" s="15">
        <v>0</v>
      </c>
      <c r="I429" s="15">
        <v>0</v>
      </c>
      <c r="J429" s="15">
        <v>0</v>
      </c>
      <c r="K429" s="15">
        <v>0</v>
      </c>
      <c r="L429" s="15">
        <v>0</v>
      </c>
      <c r="M429" s="15">
        <v>0</v>
      </c>
      <c r="N429" s="15">
        <v>0</v>
      </c>
      <c r="O429" s="15">
        <v>0.0023</v>
      </c>
      <c r="P429" s="15">
        <f>IF(SUM(D429:O429)=0,"0",AVERAGEIF(D429:O429,"&lt;&gt;0",D429:O429))</f>
      </c>
      <c r="Q429" s="14"/>
    </row>
    <row customHeight="true" ht="19" r="430">
      <c r="A430" s="15">
        <v>409</v>
      </c>
      <c r="B430" s="15" t="str">
        <v>陕西</v>
      </c>
      <c r="C430" s="16" t="str">
        <v>（2）抽水蓄能容量电费折合度电水平</v>
      </c>
      <c r="D430" s="15">
        <v>0.0042</v>
      </c>
      <c r="E430" s="15">
        <v>0.0032</v>
      </c>
      <c r="F430" s="15">
        <v>0.0045</v>
      </c>
      <c r="G430" s="15">
        <v>0.0067</v>
      </c>
      <c r="H430" s="15">
        <v>0.0036</v>
      </c>
      <c r="I430" s="15">
        <v>0.0022</v>
      </c>
      <c r="J430" s="15">
        <v>0.0045</v>
      </c>
      <c r="K430" s="15">
        <v>0.0058</v>
      </c>
      <c r="L430" s="15">
        <v>0.0036</v>
      </c>
      <c r="M430" s="15">
        <v>0.0022</v>
      </c>
      <c r="N430" s="15">
        <v>0.0053</v>
      </c>
      <c r="O430" s="15">
        <v>0.0056</v>
      </c>
      <c r="P430" s="15">
        <f>IF(SUM(D430:O430)=0,"0",AVERAGEIF(D430:O430,"&lt;&gt;0",D430:O430))</f>
      </c>
      <c r="Q430" s="14"/>
    </row>
    <row customHeight="true" ht="19" r="431">
      <c r="A431" s="15">
        <v>410</v>
      </c>
      <c r="B431" s="15" t="str">
        <v>陕西</v>
      </c>
      <c r="C431" s="16" t="str">
        <v>（3）上网环节线损代理采购损益折合度电水平</v>
      </c>
      <c r="D431" s="15">
        <v>-0.0023</v>
      </c>
      <c r="E431" s="15">
        <v>-0.0022</v>
      </c>
      <c r="F431" s="15">
        <v>-0.0013</v>
      </c>
      <c r="G431" s="15">
        <v>-0.0012</v>
      </c>
      <c r="H431" s="15">
        <v>-0.0005</v>
      </c>
      <c r="I431" s="15">
        <v>0.0006</v>
      </c>
      <c r="J431" s="15">
        <v>0.0013</v>
      </c>
      <c r="K431" s="15">
        <v>-0.0005</v>
      </c>
      <c r="L431" s="15">
        <v>-0.0009</v>
      </c>
      <c r="M431" s="15">
        <v>-0.0001</v>
      </c>
      <c r="N431" s="15">
        <v>0.0028</v>
      </c>
      <c r="O431" s="15">
        <v>-0.0012</v>
      </c>
      <c r="P431" s="15">
        <f>IF(SUM(D431:O431)=0,"0",AVERAGEIF(D431:O431,"&lt;&gt;0",D431:O431))</f>
      </c>
      <c r="Q431" s="14"/>
    </row>
    <row customHeight="true" ht="19" r="432">
      <c r="A432" s="15">
        <v>411</v>
      </c>
      <c r="B432" s="15" t="str">
        <v>陕西</v>
      </c>
      <c r="C432" s="16" t="str">
        <v>（4）电价交叉补贴新增损益折合度电水平</v>
      </c>
      <c r="D432" s="15">
        <v>-0.0065</v>
      </c>
      <c r="E432" s="15">
        <v>0.0097</v>
      </c>
      <c r="F432" s="15">
        <v>0.0146</v>
      </c>
      <c r="G432" s="15">
        <v>0.0047</v>
      </c>
      <c r="H432" s="15">
        <v>-0.0047</v>
      </c>
      <c r="I432" s="15">
        <v>0.0002</v>
      </c>
      <c r="J432" s="15">
        <v>0.0049</v>
      </c>
      <c r="K432" s="15">
        <v>-0.0036</v>
      </c>
      <c r="L432" s="15">
        <v>0.0217</v>
      </c>
      <c r="M432" s="15">
        <v>0.0115</v>
      </c>
      <c r="N432" s="15">
        <v>0.0152</v>
      </c>
      <c r="O432" s="15">
        <v>-0.0133</v>
      </c>
      <c r="P432" s="15">
        <f>IF(SUM(D432:O432)=0,"0",AVERAGEIF(D432:O432,"&lt;&gt;0",D432:O432))</f>
      </c>
      <c r="Q432" s="14"/>
    </row>
    <row customHeight="true" ht="19" r="433">
      <c r="A433" s="15">
        <v>412</v>
      </c>
      <c r="B433" s="15" t="str">
        <v>陕西</v>
      </c>
      <c r="C433" s="16" t="str">
        <v>（5）煤电容量电费折合度电水平</v>
      </c>
      <c r="D433" s="15">
        <v>0.029</v>
      </c>
      <c r="E433" s="15">
        <v>0.0239</v>
      </c>
      <c r="F433" s="15">
        <v>0.0197</v>
      </c>
      <c r="G433" s="15">
        <v>0.028</v>
      </c>
      <c r="H433" s="15">
        <v>0.028</v>
      </c>
      <c r="I433" s="15">
        <v>0.0236</v>
      </c>
      <c r="J433" s="15">
        <v>0.021</v>
      </c>
      <c r="K433" s="15">
        <v>0.0252</v>
      </c>
      <c r="L433" s="15">
        <v>0.0266</v>
      </c>
      <c r="M433" s="15">
        <v>0.0217</v>
      </c>
      <c r="N433" s="15">
        <v>0.0275</v>
      </c>
      <c r="O433" s="15">
        <v>0.0262</v>
      </c>
      <c r="P433" s="15">
        <f>IF(SUM(D433:O433)=0,"0",AVERAGEIF(D433:O433,"&lt;&gt;0",D433:O433))</f>
      </c>
      <c r="Q433" s="14"/>
    </row>
    <row customHeight="true" ht="19" r="434">
      <c r="A434" s="15">
        <v>413</v>
      </c>
      <c r="B434" s="15" t="str">
        <v>陕西</v>
      </c>
      <c r="C434" s="16" t="str">
        <v>（6）天然气发电容量电费折合度电水平</v>
      </c>
      <c r="D434" s="15">
        <v>0</v>
      </c>
      <c r="E434" s="15">
        <v>0</v>
      </c>
      <c r="F434" s="15">
        <v>0</v>
      </c>
      <c r="G434" s="15">
        <v>0</v>
      </c>
      <c r="H434" s="15">
        <v>0</v>
      </c>
      <c r="I434" s="15">
        <v>0</v>
      </c>
      <c r="J434" s="15">
        <v>0</v>
      </c>
      <c r="K434" s="15">
        <v>0</v>
      </c>
      <c r="L434" s="15">
        <v>0</v>
      </c>
      <c r="M434" s="15">
        <v>0</v>
      </c>
      <c r="N434" s="15">
        <v>0</v>
      </c>
      <c r="O434" s="15">
        <v>0</v>
      </c>
      <c r="P434" s="15">
        <f>IF(SUM(D434:O434)=0,"0",AVERAGEIF(D434:O434,"&lt;&gt;0",D434:O434))</f>
      </c>
      <c r="Q434" s="14"/>
    </row>
    <row customHeight="true" ht="19" r="435">
      <c r="A435" s="15">
        <v>414</v>
      </c>
      <c r="B435" s="15" t="str">
        <v>陕西</v>
      </c>
      <c r="C435" s="16" t="str">
        <v>（7）水电合约价差损益折合度电水平</v>
      </c>
      <c r="D435" s="15">
        <v>0</v>
      </c>
      <c r="E435" s="15">
        <v>0</v>
      </c>
      <c r="F435" s="15">
        <v>0</v>
      </c>
      <c r="G435" s="15">
        <v>0</v>
      </c>
      <c r="H435" s="15">
        <v>0</v>
      </c>
      <c r="I435" s="15">
        <v>0</v>
      </c>
      <c r="J435" s="15">
        <v>0</v>
      </c>
      <c r="K435" s="15">
        <v>0</v>
      </c>
      <c r="L435" s="15">
        <v>0</v>
      </c>
      <c r="M435" s="15">
        <v>0</v>
      </c>
      <c r="N435" s="15">
        <v>0</v>
      </c>
      <c r="O435" s="15">
        <v>0</v>
      </c>
      <c r="P435" s="15">
        <f>IF(SUM(D435:O435)=0,"0",AVERAGEIF(D435:O435,"&lt;&gt;0",D435:O435))</f>
      </c>
      <c r="Q435" s="14"/>
    </row>
    <row customHeight="true" ht="19" r="436">
      <c r="A436" s="15">
        <v>415</v>
      </c>
      <c r="B436" s="15" t="str">
        <v>陕西</v>
      </c>
      <c r="C436" s="16" t="str">
        <v>（8）独立储能容量电费折合度电水平</v>
      </c>
      <c r="D436" s="15">
        <v>0</v>
      </c>
      <c r="E436" s="15">
        <v>0</v>
      </c>
      <c r="F436" s="15">
        <v>0</v>
      </c>
      <c r="G436" s="15">
        <v>0</v>
      </c>
      <c r="H436" s="15">
        <v>0</v>
      </c>
      <c r="I436" s="15">
        <v>0</v>
      </c>
      <c r="J436" s="15">
        <v>0</v>
      </c>
      <c r="K436" s="15">
        <v>0</v>
      </c>
      <c r="L436" s="15">
        <v>0</v>
      </c>
      <c r="M436" s="15">
        <v>0</v>
      </c>
      <c r="N436" s="15">
        <v>0</v>
      </c>
      <c r="O436" s="15">
        <v>0</v>
      </c>
      <c r="P436" s="15">
        <f>IF(SUM(D436:O436)=0,"0",AVERAGEIF(D436:O436,"&lt;&gt;0",D436:O436))</f>
      </c>
      <c r="Q436" s="14"/>
    </row>
    <row customHeight="true" ht="19" r="437">
      <c r="A437" s="15">
        <v>416</v>
      </c>
      <c r="B437" s="15" t="str">
        <v>陕西</v>
      </c>
      <c r="C437" s="16" t="str">
        <v>（9）工商业峰谷分时损益折合度电水平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  <c r="I437" s="15">
        <v>0</v>
      </c>
      <c r="J437" s="15">
        <v>0</v>
      </c>
      <c r="K437" s="15">
        <v>0</v>
      </c>
      <c r="L437" s="15">
        <v>0</v>
      </c>
      <c r="M437" s="15">
        <v>0</v>
      </c>
      <c r="N437" s="15">
        <v>0</v>
      </c>
      <c r="O437" s="15">
        <v>0</v>
      </c>
      <c r="P437" s="15">
        <f>IF(SUM(D437:O437)=0,"0",AVERAGEIF(D437:O437,"&lt;&gt;0",D437:O437))</f>
      </c>
      <c r="Q437" s="14"/>
    </row>
    <row customHeight="true" ht="19" r="438">
      <c r="A438" s="15">
        <v>417</v>
      </c>
      <c r="B438" s="15" t="str">
        <v>陕西</v>
      </c>
      <c r="C438" s="16" t="str">
        <v>（10）功率因数调整电费损益折合度电水平</v>
      </c>
      <c r="D438" s="15">
        <v>0</v>
      </c>
      <c r="E438" s="15">
        <v>0</v>
      </c>
      <c r="F438" s="15">
        <v>0</v>
      </c>
      <c r="G438" s="15">
        <v>0</v>
      </c>
      <c r="H438" s="15">
        <v>0</v>
      </c>
      <c r="I438" s="15">
        <v>0</v>
      </c>
      <c r="J438" s="15">
        <v>0</v>
      </c>
      <c r="K438" s="15">
        <v>0</v>
      </c>
      <c r="L438" s="15">
        <v>0</v>
      </c>
      <c r="M438" s="15">
        <v>0</v>
      </c>
      <c r="N438" s="15">
        <v>0</v>
      </c>
      <c r="O438" s="15">
        <v>0</v>
      </c>
      <c r="P438" s="15">
        <f>IF(SUM(D438:O438)=0,"0",AVERAGEIF(D438:O438,"&lt;&gt;0",D438:O438))</f>
      </c>
      <c r="Q438" s="14"/>
    </row>
    <row customHeight="true" ht="19" r="439">
      <c r="A439" s="15">
        <v>418</v>
      </c>
      <c r="B439" s="15" t="str">
        <v>陕西</v>
      </c>
      <c r="C439" s="16" t="str">
        <v>（11）新能源可持续发展价格结算机制差价结算费用折合度电水平</v>
      </c>
      <c r="D439" s="15">
        <v>0</v>
      </c>
      <c r="E439" s="15">
        <v>0</v>
      </c>
      <c r="F439" s="15">
        <v>0</v>
      </c>
      <c r="G439" s="15">
        <v>0</v>
      </c>
      <c r="H439" s="15">
        <v>0</v>
      </c>
      <c r="I439" s="15">
        <v>0</v>
      </c>
      <c r="J439" s="15">
        <v>0</v>
      </c>
      <c r="K439" s="15">
        <v>0</v>
      </c>
      <c r="L439" s="15">
        <v>0</v>
      </c>
      <c r="M439" s="15">
        <v>0</v>
      </c>
      <c r="N439" s="15">
        <v>0</v>
      </c>
      <c r="O439" s="15">
        <v>0</v>
      </c>
      <c r="P439" s="15">
        <f>IF(SUM(D439:O439)=0,"0",AVERAGEIF(D439:O439,"&lt;&gt;0",D439:O439))</f>
      </c>
      <c r="Q439" s="14"/>
    </row>
    <row customHeight="true" ht="19" r="440">
      <c r="A440" s="15">
        <v>419</v>
      </c>
      <c r="B440" s="15" t="str">
        <v>陕西</v>
      </c>
      <c r="C440" s="16" t="str">
        <v>（12）趸售电价损益折合度电水平</v>
      </c>
      <c r="D440" s="15">
        <v>0</v>
      </c>
      <c r="E440" s="15">
        <v>0</v>
      </c>
      <c r="F440" s="15">
        <v>0</v>
      </c>
      <c r="G440" s="15">
        <v>0</v>
      </c>
      <c r="H440" s="15">
        <v>0</v>
      </c>
      <c r="I440" s="15">
        <v>0</v>
      </c>
      <c r="J440" s="15">
        <v>0</v>
      </c>
      <c r="K440" s="15">
        <v>0</v>
      </c>
      <c r="L440" s="15">
        <v>0</v>
      </c>
      <c r="M440" s="15">
        <v>0</v>
      </c>
      <c r="N440" s="15">
        <v>0</v>
      </c>
      <c r="O440" s="15">
        <v>0</v>
      </c>
      <c r="P440" s="15">
        <f>IF(SUM(D440:O440)=0,"0",AVERAGEIF(D440:O440,"&lt;&gt;0",D440:O440))</f>
      </c>
      <c r="Q440" s="14"/>
    </row>
    <row customHeight="true" ht="19" r="441">
      <c r="A441" s="15">
        <v>420</v>
      </c>
      <c r="B441" s="15" t="str">
        <v>陕西</v>
      </c>
      <c r="C441" s="39" t="str">
        <v>（13）代理购电价格新增损益折合度电水平</v>
      </c>
      <c r="D441" s="15">
        <v>0</v>
      </c>
      <c r="E441" s="15">
        <v>0</v>
      </c>
      <c r="F441" s="15">
        <v>0</v>
      </c>
      <c r="G441" s="15">
        <v>0</v>
      </c>
      <c r="H441" s="15">
        <v>0</v>
      </c>
      <c r="I441" s="15">
        <v>0</v>
      </c>
      <c r="J441" s="15">
        <v>0</v>
      </c>
      <c r="K441" s="15">
        <v>0</v>
      </c>
      <c r="L441" s="15">
        <v>0</v>
      </c>
      <c r="M441" s="15">
        <v>0</v>
      </c>
      <c r="N441" s="15">
        <v>0</v>
      </c>
      <c r="O441" s="15">
        <v>0</v>
      </c>
      <c r="P441" s="15">
        <f>IF(SUM(D441:O441)=0,"0",AVERAGEIF(D441:O441,"&lt;&gt;0",D441:O441))</f>
      </c>
      <c r="Q441" s="14"/>
    </row>
    <row customHeight="true" ht="19" r="442">
      <c r="A442" s="15">
        <v>420</v>
      </c>
      <c r="B442" s="15" t="str">
        <v>陕西</v>
      </c>
      <c r="C442" s="39" t="str">
        <v>（14）跨省跨区应急调度价差损益折合度电水平</v>
      </c>
      <c r="D442" s="15">
        <v>0</v>
      </c>
      <c r="E442" s="15">
        <v>0</v>
      </c>
      <c r="F442" s="15">
        <v>0</v>
      </c>
      <c r="G442" s="15">
        <v>0</v>
      </c>
      <c r="H442" s="15">
        <v>0</v>
      </c>
      <c r="I442" s="15">
        <v>0</v>
      </c>
      <c r="J442" s="15">
        <v>0</v>
      </c>
      <c r="K442" s="15">
        <v>0</v>
      </c>
      <c r="L442" s="15">
        <v>0</v>
      </c>
      <c r="M442" s="15">
        <v>0</v>
      </c>
      <c r="N442" s="15">
        <v>0</v>
      </c>
      <c r="O442" s="15">
        <v>0</v>
      </c>
      <c r="P442" s="15">
        <f>IF(SUM(D442:O442)=0,"0",AVERAGEIF(D442:O442,"&lt;&gt;0",D442:O442))</f>
      </c>
      <c r="Q442" s="14"/>
    </row>
    <row customHeight="true" ht="19" r="443">
      <c r="A443" s="15">
        <v>421</v>
      </c>
      <c r="B443" s="15" t="str">
        <v>陕西</v>
      </c>
      <c r="C443" s="39" t="str">
        <v>（15）剩余优先发电价差损益度电水平</v>
      </c>
      <c r="D443" s="15">
        <v>0</v>
      </c>
      <c r="E443" s="15">
        <v>0</v>
      </c>
      <c r="F443" s="15">
        <v>0</v>
      </c>
      <c r="G443" s="15">
        <v>0</v>
      </c>
      <c r="H443" s="15">
        <v>0</v>
      </c>
      <c r="I443" s="15">
        <v>0</v>
      </c>
      <c r="J443" s="15">
        <v>0</v>
      </c>
      <c r="K443" s="15">
        <v>0</v>
      </c>
      <c r="L443" s="15">
        <v>0</v>
      </c>
      <c r="M443" s="15">
        <v>0</v>
      </c>
      <c r="N443" s="15">
        <v>0</v>
      </c>
      <c r="O443" s="15">
        <v>0</v>
      </c>
      <c r="P443" s="15">
        <f>IF(SUM(D443:O443)=0,"0",AVERAGEIF(D443:O443,"&lt;&gt;0",D443:O443))</f>
      </c>
      <c r="Q443" s="14"/>
    </row>
    <row customHeight="true" ht="19" r="444">
      <c r="A444" s="15">
        <v>422</v>
      </c>
      <c r="B444" s="15" t="str">
        <v>陕西</v>
      </c>
      <c r="C444" s="39" t="str">
        <v>（16）其他费用折合度电水平</v>
      </c>
      <c r="D444" s="15">
        <v>0</v>
      </c>
      <c r="E444" s="15">
        <v>0</v>
      </c>
      <c r="F444" s="15">
        <v>0</v>
      </c>
      <c r="G444" s="15">
        <v>0</v>
      </c>
      <c r="H444" s="15">
        <v>0</v>
      </c>
      <c r="I444" s="15">
        <v>0</v>
      </c>
      <c r="J444" s="15">
        <v>0</v>
      </c>
      <c r="K444" s="15">
        <v>0</v>
      </c>
      <c r="L444" s="15">
        <v>0</v>
      </c>
      <c r="M444" s="15">
        <v>0</v>
      </c>
      <c r="N444" s="15">
        <v>0</v>
      </c>
      <c r="O444" s="15">
        <v>0</v>
      </c>
      <c r="P444" s="15">
        <f>IF(SUM(D444:O444)=0,"0",AVERAGEIF(D444:O444,"&lt;&gt;0",D444:O444))</f>
      </c>
      <c r="Q444" s="14"/>
    </row>
    <row r="445">
      <c r="A445" s="15">
        <v>423</v>
      </c>
      <c r="B445" s="30" t="str">
        <v>甘肃</v>
      </c>
      <c r="C445" s="27" t="str">
        <v>代理工商业购电价格</v>
      </c>
      <c r="D445" s="30">
        <f>D446+D447+D448</f>
      </c>
      <c r="E445" s="30">
        <f>E446+E447+E448</f>
      </c>
      <c r="F445" s="30">
        <f>F446+F447+F448</f>
      </c>
      <c r="G445" s="30">
        <f>G446+G447+G448</f>
      </c>
      <c r="H445" s="30">
        <f>H446+H447+H448</f>
      </c>
      <c r="I445" s="30">
        <f>I446+I447+I448</f>
      </c>
      <c r="J445" s="30">
        <f>J446+J447+J448</f>
      </c>
      <c r="K445" s="30">
        <f>K446+K447+K448</f>
      </c>
      <c r="L445" s="30">
        <f>L446+L447+L448</f>
      </c>
      <c r="M445" s="30">
        <f>M446+M447+M448</f>
      </c>
      <c r="N445" s="30">
        <f>N446+N447+N448</f>
      </c>
      <c r="O445" s="30">
        <f>O446+O447+O448</f>
      </c>
      <c r="P445" s="30">
        <f>IF(SUM(D445:O445)=0,"0",AVERAGEIF(D445:O445,"&lt;&gt;0",D445:O445))</f>
      </c>
      <c r="Q445" s="29"/>
    </row>
    <row customHeight="true" ht="19" r="446">
      <c r="A446" s="15">
        <v>424</v>
      </c>
      <c r="B446" s="30" t="str">
        <v>甘肃</v>
      </c>
      <c r="C446" s="27" t="str">
        <v>（1）当月平均购电价格</v>
      </c>
      <c r="D446" s="30">
        <v>0.327791</v>
      </c>
      <c r="E446" s="30">
        <v>0.274302</v>
      </c>
      <c r="F446" s="30">
        <v>0.267736</v>
      </c>
      <c r="G446" s="30">
        <v>0.266675</v>
      </c>
      <c r="H446" s="30">
        <v>0.231698</v>
      </c>
      <c r="I446" s="30">
        <v>0.238244</v>
      </c>
      <c r="J446" s="30">
        <v>0.243675</v>
      </c>
      <c r="K446" s="30">
        <v>0.239565</v>
      </c>
      <c r="L446" s="30">
        <v>0.249579</v>
      </c>
      <c r="M446" s="30">
        <v>0.251544</v>
      </c>
      <c r="N446" s="30">
        <v>0.267471</v>
      </c>
      <c r="O446" s="30">
        <v>0.274782</v>
      </c>
      <c r="P446" s="30">
        <f>IF(SUM(D446:O446)=0,"0",AVERAGEIF(D446:O446,"&lt;&gt;0",D446:O446))</f>
      </c>
      <c r="Q446" s="29"/>
    </row>
    <row customHeight="true" ht="19" r="447">
      <c r="A447" s="15">
        <v>425</v>
      </c>
      <c r="B447" s="30" t="str">
        <v>甘肃</v>
      </c>
      <c r="C447" s="27" t="str">
        <v>（2）历史偏差电费折价</v>
      </c>
      <c r="D447" s="30">
        <v>0.00437</v>
      </c>
      <c r="E447" s="30">
        <v>0.008939</v>
      </c>
      <c r="F447" s="30">
        <v>0.021672</v>
      </c>
      <c r="G447" s="30">
        <v>0.00466</v>
      </c>
      <c r="H447" s="30">
        <v>0.008833</v>
      </c>
      <c r="I447" s="30">
        <v>0.000649</v>
      </c>
      <c r="J447" s="30">
        <v>0.001795</v>
      </c>
      <c r="K447" s="30">
        <v>0.006015</v>
      </c>
      <c r="L447" s="30">
        <v>-0.008099</v>
      </c>
      <c r="M447" s="30">
        <v>-0.000148</v>
      </c>
      <c r="N447" s="30">
        <v>0.001802</v>
      </c>
      <c r="O447" s="30">
        <v>-0.002985</v>
      </c>
      <c r="P447" s="30">
        <f>IF(SUM(D447:O447)=0,"0",AVERAGEIF(D447:O447,"&lt;&gt;0",D447:O447))</f>
      </c>
      <c r="Q447" s="29"/>
    </row>
    <row customHeight="true" ht="19" r="448">
      <c r="A448" s="15">
        <v>426</v>
      </c>
      <c r="B448" s="30" t="str">
        <v>甘肃</v>
      </c>
      <c r="C448" s="27" t="str">
        <v>（3）双轨制资金折价</v>
      </c>
      <c r="D448" s="30">
        <v>0.003372</v>
      </c>
      <c r="E448" s="30">
        <v>-0.006159</v>
      </c>
      <c r="F448" s="30">
        <v>0.000226</v>
      </c>
      <c r="G448" s="30">
        <v>0.031921</v>
      </c>
      <c r="H448" s="30">
        <v>0.057016</v>
      </c>
      <c r="I448" s="30">
        <v>0.043286</v>
      </c>
      <c r="J448" s="30">
        <v>0.013858</v>
      </c>
      <c r="K448" s="30">
        <v>0.021251</v>
      </c>
      <c r="L448" s="30">
        <v>0.028808</v>
      </c>
      <c r="M448" s="30">
        <v>0.036194</v>
      </c>
      <c r="N448" s="30">
        <v>0.011913</v>
      </c>
      <c r="O448" s="30">
        <v>0.016675</v>
      </c>
      <c r="P448" s="30">
        <f>IF(SUM(D448:O448)=0,"0",AVERAGEIF(D448:O448,"&lt;&gt;0",D448:O448))</f>
      </c>
      <c r="Q448" s="29"/>
    </row>
    <row customHeight="true" ht="19" r="449">
      <c r="A449" s="15">
        <v>427</v>
      </c>
      <c r="B449" s="30" t="str">
        <v>甘肃</v>
      </c>
      <c r="C449" s="27" t="str">
        <v>上网环节线损费用折价</v>
      </c>
      <c r="D449" s="30">
        <v>0.007934</v>
      </c>
      <c r="E449" s="30">
        <v>0.006552</v>
      </c>
      <c r="F449" s="30">
        <v>0.006849</v>
      </c>
      <c r="G449" s="30">
        <v>0.007171</v>
      </c>
      <c r="H449" s="30">
        <v>0.007036</v>
      </c>
      <c r="I449" s="30">
        <v>0.006672</v>
      </c>
      <c r="J449" s="30">
        <v>0.006132</v>
      </c>
      <c r="K449" s="30">
        <v>0.00631</v>
      </c>
      <c r="L449" s="30">
        <v>0.006391</v>
      </c>
      <c r="M449" s="30">
        <v>0.0068</v>
      </c>
      <c r="N449" s="30">
        <v>0.006649</v>
      </c>
      <c r="O449" s="30">
        <v>0.006821</v>
      </c>
      <c r="P449" s="30">
        <f>IF(SUM(D449:O449)=0,"0",AVERAGEIF(D449:O449,"&lt;&gt;0",D449:O449))</f>
      </c>
      <c r="Q449" s="29"/>
    </row>
    <row r="450">
      <c r="A450" s="15">
        <v>428</v>
      </c>
      <c r="B450" s="30" t="str">
        <v>甘肃</v>
      </c>
      <c r="C450" s="27" t="str">
        <v>系统运行费用折合度电水平</v>
      </c>
      <c r="D450" s="30">
        <f>SUM(D451:D466)</f>
      </c>
      <c r="E450" s="30">
        <f>SUM(E451:E466)</f>
      </c>
      <c r="F450" s="30">
        <f>SUM(F451:F466)</f>
      </c>
      <c r="G450" s="30">
        <f>SUM(G451:G466)</f>
      </c>
      <c r="H450" s="30">
        <f>SUM(H451:H466)</f>
      </c>
      <c r="I450" s="30">
        <f>SUM(I451:I466)</f>
      </c>
      <c r="J450" s="30">
        <f>SUM(J451:J466)</f>
      </c>
      <c r="K450" s="30">
        <f>SUM(K451:K466)</f>
      </c>
      <c r="L450" s="30">
        <f>SUM(L451:L466)</f>
      </c>
      <c r="M450" s="30">
        <f>SUM(M451:M466)</f>
      </c>
      <c r="N450" s="30">
        <f>SUM(N451:N466)</f>
      </c>
      <c r="O450" s="30">
        <f>SUM(O451:O466)</f>
      </c>
      <c r="P450" s="30">
        <f>IF(SUM(D450:O450)=0,"0",AVERAGEIF(D450:O450,"&lt;&gt;0",D450:O450))</f>
      </c>
      <c r="Q450" s="29"/>
    </row>
    <row customHeight="true" ht="19" r="451">
      <c r="A451" s="15">
        <v>429</v>
      </c>
      <c r="B451" s="30" t="str">
        <v>甘肃</v>
      </c>
      <c r="C451" s="27" t="str">
        <v>（1）辅助服务费用折合度电水平</v>
      </c>
      <c r="D451" s="30">
        <v>0.006997</v>
      </c>
      <c r="E451" s="30">
        <v>0.00829</v>
      </c>
      <c r="F451" s="30">
        <v>0.004732</v>
      </c>
      <c r="G451" s="30">
        <v>0.003831</v>
      </c>
      <c r="H451" s="30">
        <v>0.004333</v>
      </c>
      <c r="I451" s="30">
        <v>0.015001</v>
      </c>
      <c r="J451" s="30">
        <v>0.007621</v>
      </c>
      <c r="K451" s="30">
        <v>0.01019</v>
      </c>
      <c r="L451" s="30">
        <v>0.008521</v>
      </c>
      <c r="M451" s="30">
        <v>0.008872</v>
      </c>
      <c r="N451" s="30">
        <v>0.011112</v>
      </c>
      <c r="O451" s="30">
        <v>0.015049</v>
      </c>
      <c r="P451" s="30">
        <f>IF(SUM(D451:O451)=0,"0",AVERAGEIF(D451:O451,"&lt;&gt;0",D451:O451))</f>
      </c>
      <c r="Q451" s="29"/>
    </row>
    <row customHeight="true" ht="19" r="452">
      <c r="A452" s="15">
        <v>430</v>
      </c>
      <c r="B452" s="30" t="str">
        <v>甘肃</v>
      </c>
      <c r="C452" s="27" t="str">
        <v>（2）抽水蓄能容量电费折合度电水平</v>
      </c>
      <c r="D452" s="30">
        <v>0.000527</v>
      </c>
      <c r="E452" s="30">
        <v>0.000947</v>
      </c>
      <c r="F452" s="30">
        <v>0.001091</v>
      </c>
      <c r="G452" s="30">
        <v>0.000892</v>
      </c>
      <c r="H452" s="30">
        <v>0.000837</v>
      </c>
      <c r="I452" s="30">
        <v>0.000916</v>
      </c>
      <c r="J452" s="30">
        <v>0.000902</v>
      </c>
      <c r="K452" s="30">
        <v>0.000906</v>
      </c>
      <c r="L452" s="30">
        <v>0.000874</v>
      </c>
      <c r="M452" s="30">
        <v>0.000849</v>
      </c>
      <c r="N452" s="30">
        <v>0.000825</v>
      </c>
      <c r="O452" s="30">
        <v>0.000753</v>
      </c>
      <c r="P452" s="30">
        <f>IF(SUM(D452:O452)=0,"0",AVERAGEIF(D452:O452,"&lt;&gt;0",D452:O452))</f>
      </c>
      <c r="Q452" s="29"/>
    </row>
    <row customHeight="true" ht="19" r="453">
      <c r="A453" s="15">
        <v>431</v>
      </c>
      <c r="B453" s="30" t="str">
        <v>甘肃</v>
      </c>
      <c r="C453" s="27" t="str">
        <v>（3）上网环节线损代理采购损益折合度电水平</v>
      </c>
      <c r="D453" s="30">
        <v>0.001508</v>
      </c>
      <c r="E453" s="30">
        <v>0.001507</v>
      </c>
      <c r="F453" s="30">
        <v>0.003128</v>
      </c>
      <c r="G453" s="30">
        <v>-0.001592</v>
      </c>
      <c r="H453" s="30">
        <v>-0.000383</v>
      </c>
      <c r="I453" s="30">
        <v>-0.000702</v>
      </c>
      <c r="J453" s="30">
        <v>-0.002035</v>
      </c>
      <c r="K453" s="30">
        <v>-0.002847</v>
      </c>
      <c r="L453" s="30">
        <v>0.002678</v>
      </c>
      <c r="M453" s="30">
        <v>-0.002119</v>
      </c>
      <c r="N453" s="30">
        <v>0.001064</v>
      </c>
      <c r="O453" s="30">
        <v>0.000004</v>
      </c>
      <c r="P453" s="30">
        <f>IF(SUM(D453:O453)=0,"0",AVERAGEIF(D453:O453,"&lt;&gt;0",D453:O453))</f>
      </c>
      <c r="Q453" s="29"/>
    </row>
    <row customHeight="true" ht="19" r="454">
      <c r="A454" s="15">
        <v>432</v>
      </c>
      <c r="B454" s="30" t="str">
        <v>甘肃</v>
      </c>
      <c r="C454" s="27" t="str">
        <v>（4）电价交叉补贴新增损益折合度电水平</v>
      </c>
      <c r="D454" s="30">
        <v>0.000125</v>
      </c>
      <c r="E454" s="30">
        <v>-0.004767</v>
      </c>
      <c r="F454" s="30">
        <v>-0.001133</v>
      </c>
      <c r="G454" s="30">
        <v>-0.004911</v>
      </c>
      <c r="H454" s="30">
        <v>-0.006395</v>
      </c>
      <c r="I454" s="30">
        <v>0.00481</v>
      </c>
      <c r="J454" s="30">
        <v>0.011803</v>
      </c>
      <c r="K454" s="30">
        <v>0.019281</v>
      </c>
      <c r="L454" s="30">
        <v>0.026654</v>
      </c>
      <c r="M454" s="30">
        <v>0.011271</v>
      </c>
      <c r="N454" s="30">
        <v>-0.00133</v>
      </c>
      <c r="O454" s="30">
        <v>-0.006675</v>
      </c>
      <c r="P454" s="30">
        <f>IF(SUM(D454:O454)=0,"0",AVERAGEIF(D454:O454,"&lt;&gt;0",D454:O454))</f>
      </c>
      <c r="Q454" s="29"/>
    </row>
    <row customHeight="true" ht="19" r="455">
      <c r="A455" s="15">
        <v>433</v>
      </c>
      <c r="B455" s="30" t="str">
        <v>甘肃</v>
      </c>
      <c r="C455" s="27" t="str">
        <v>（5）煤电容量电费折合度电水平</v>
      </c>
      <c r="D455" s="30">
        <v>0.011544</v>
      </c>
      <c r="E455" s="30">
        <v>0.011719</v>
      </c>
      <c r="F455" s="30">
        <v>0.012029</v>
      </c>
      <c r="G455" s="30">
        <v>0.013962</v>
      </c>
      <c r="H455" s="30">
        <v>0.013291</v>
      </c>
      <c r="I455" s="30">
        <v>0.014525</v>
      </c>
      <c r="J455" s="30">
        <v>0.013801</v>
      </c>
      <c r="K455" s="30">
        <v>0.01382</v>
      </c>
      <c r="L455" s="30">
        <v>0.013426</v>
      </c>
      <c r="M455" s="30">
        <v>0.013447</v>
      </c>
      <c r="N455" s="30">
        <v>0.012563</v>
      </c>
      <c r="O455" s="30">
        <v>0.010914</v>
      </c>
      <c r="P455" s="30">
        <f>IF(SUM(D455:O455)=0,"0",AVERAGEIF(D455:O455,"&lt;&gt;0",D455:O455))</f>
      </c>
      <c r="Q455" s="29"/>
    </row>
    <row customHeight="true" ht="19" r="456">
      <c r="A456" s="15">
        <v>434</v>
      </c>
      <c r="B456" s="30" t="str">
        <v>甘肃</v>
      </c>
      <c r="C456" s="27" t="str">
        <v>（6）天然气发电容量电费折合度电水平</v>
      </c>
      <c r="D456" s="30">
        <v>0</v>
      </c>
      <c r="E456" s="30">
        <v>0</v>
      </c>
      <c r="F456" s="30">
        <v>0</v>
      </c>
      <c r="G456" s="30">
        <v>0</v>
      </c>
      <c r="H456" s="30">
        <v>0</v>
      </c>
      <c r="I456" s="30">
        <v>0</v>
      </c>
      <c r="J456" s="30">
        <v>0</v>
      </c>
      <c r="K456" s="30">
        <v>0</v>
      </c>
      <c r="L456" s="30">
        <v>0</v>
      </c>
      <c r="M456" s="30">
        <v>0</v>
      </c>
      <c r="N456" s="30">
        <v>0</v>
      </c>
      <c r="O456" s="30">
        <v>0</v>
      </c>
      <c r="P456" s="30">
        <f>IF(SUM(D456:O456)=0,"0",AVERAGEIF(D456:O456,"&lt;&gt;0",D456:O456))</f>
      </c>
      <c r="Q456" s="29"/>
    </row>
    <row customHeight="true" ht="19" r="457">
      <c r="A457" s="15">
        <v>435</v>
      </c>
      <c r="B457" s="30" t="str">
        <v>甘肃</v>
      </c>
      <c r="C457" s="27" t="str">
        <v>（7）水电合约价差损益折合度电水平</v>
      </c>
      <c r="D457" s="30">
        <v>0</v>
      </c>
      <c r="E457" s="30">
        <v>0</v>
      </c>
      <c r="F457" s="30">
        <v>-0.000011</v>
      </c>
      <c r="G457" s="30">
        <v>0.000411</v>
      </c>
      <c r="H457" s="30">
        <v>0.000325</v>
      </c>
      <c r="I457" s="30">
        <v>0.000812</v>
      </c>
      <c r="J457" s="30">
        <v>0.002132</v>
      </c>
      <c r="K457" s="30">
        <v>0.00149</v>
      </c>
      <c r="L457" s="30">
        <v>0.001271</v>
      </c>
      <c r="M457" s="30">
        <v>0.000873</v>
      </c>
      <c r="N457" s="30">
        <v>0.000455</v>
      </c>
      <c r="O457" s="30">
        <v>0.00059</v>
      </c>
      <c r="P457" s="30">
        <f>IF(SUM(D457:O457)=0,"0",AVERAGEIF(D457:O457,"&lt;&gt;0",D457:O457))</f>
      </c>
      <c r="Q457" s="29"/>
    </row>
    <row customHeight="true" ht="19" r="458">
      <c r="A458" s="15">
        <v>436</v>
      </c>
      <c r="B458" s="30" t="str">
        <v>甘肃</v>
      </c>
      <c r="C458" s="27" t="str">
        <v>（8）独立储能容量电费折合度电水平</v>
      </c>
      <c r="D458" s="30">
        <v>0</v>
      </c>
      <c r="E458" s="30">
        <v>0</v>
      </c>
      <c r="F458" s="30">
        <v>0</v>
      </c>
      <c r="G458" s="30">
        <v>0</v>
      </c>
      <c r="H458" s="30">
        <v>0</v>
      </c>
      <c r="I458" s="30">
        <v>0</v>
      </c>
      <c r="J458" s="30">
        <v>0</v>
      </c>
      <c r="K458" s="30">
        <v>0</v>
      </c>
      <c r="L458" s="30">
        <v>0</v>
      </c>
      <c r="M458" s="30">
        <v>0</v>
      </c>
      <c r="N458" s="30">
        <v>0</v>
      </c>
      <c r="O458" s="30">
        <v>0</v>
      </c>
      <c r="P458" s="30">
        <f>IF(SUM(D458:O458)=0,"0",AVERAGEIF(D458:O458,"&lt;&gt;0",D458:O458))</f>
      </c>
      <c r="Q458" s="29"/>
    </row>
    <row customHeight="true" ht="19" r="459">
      <c r="A459" s="15">
        <v>437</v>
      </c>
      <c r="B459" s="30" t="str">
        <v>甘肃</v>
      </c>
      <c r="C459" s="27" t="str">
        <v>（9）工商业峰谷分时损益折合度电水平</v>
      </c>
      <c r="D459" s="30">
        <v>0</v>
      </c>
      <c r="E459" s="30">
        <v>0</v>
      </c>
      <c r="F459" s="30">
        <v>0</v>
      </c>
      <c r="G459" s="30">
        <v>0</v>
      </c>
      <c r="H459" s="30">
        <v>0</v>
      </c>
      <c r="I459" s="30">
        <v>0</v>
      </c>
      <c r="J459" s="30">
        <v>0</v>
      </c>
      <c r="K459" s="30">
        <v>0</v>
      </c>
      <c r="L459" s="30">
        <v>0</v>
      </c>
      <c r="M459" s="30">
        <v>0</v>
      </c>
      <c r="N459" s="30">
        <v>0</v>
      </c>
      <c r="O459" s="30">
        <v>0</v>
      </c>
      <c r="P459" s="30">
        <f>IF(SUM(D459:O459)=0,"0",AVERAGEIF(D459:O459,"&lt;&gt;0",D459:O459))</f>
      </c>
      <c r="Q459" s="29"/>
    </row>
    <row customHeight="true" ht="19" r="460">
      <c r="A460" s="15">
        <v>438</v>
      </c>
      <c r="B460" s="30" t="str">
        <v>甘肃</v>
      </c>
      <c r="C460" s="27" t="str">
        <v>（10）功率因数调整电费损益折合度电水平</v>
      </c>
      <c r="D460" s="30">
        <v>0</v>
      </c>
      <c r="E460" s="30">
        <v>0</v>
      </c>
      <c r="F460" s="30">
        <v>0</v>
      </c>
      <c r="G460" s="30">
        <v>0</v>
      </c>
      <c r="H460" s="30">
        <v>0</v>
      </c>
      <c r="I460" s="30">
        <v>0</v>
      </c>
      <c r="J460" s="30">
        <v>0</v>
      </c>
      <c r="K460" s="30">
        <v>0</v>
      </c>
      <c r="L460" s="30">
        <v>0</v>
      </c>
      <c r="M460" s="30">
        <v>0</v>
      </c>
      <c r="N460" s="30">
        <v>0</v>
      </c>
      <c r="O460" s="30">
        <v>0</v>
      </c>
      <c r="P460" s="30">
        <f>IF(SUM(D460:O460)=0,"0",AVERAGEIF(D460:O460,"&lt;&gt;0",D460:O460))</f>
      </c>
      <c r="Q460" s="29"/>
    </row>
    <row customHeight="true" ht="19" r="461">
      <c r="A461" s="15">
        <v>439</v>
      </c>
      <c r="B461" s="30" t="str">
        <v>甘肃</v>
      </c>
      <c r="C461" s="27" t="str">
        <v>（11）新能源可持续发展价格结算机制差价结算费用折合度电水平</v>
      </c>
      <c r="D461" s="30">
        <v>0</v>
      </c>
      <c r="E461" s="30">
        <v>0</v>
      </c>
      <c r="F461" s="30">
        <v>0</v>
      </c>
      <c r="G461" s="30">
        <v>0</v>
      </c>
      <c r="H461" s="30">
        <v>0</v>
      </c>
      <c r="I461" s="30">
        <v>0</v>
      </c>
      <c r="J461" s="30">
        <v>0</v>
      </c>
      <c r="K461" s="30">
        <v>0</v>
      </c>
      <c r="L461" s="30">
        <v>0</v>
      </c>
      <c r="M461" s="30">
        <v>0</v>
      </c>
      <c r="N461" s="30">
        <v>0</v>
      </c>
      <c r="O461" s="30">
        <v>0</v>
      </c>
      <c r="P461" s="30">
        <f>IF(SUM(D461:O461)=0,"0",AVERAGEIF(D461:O461,"&lt;&gt;0",D461:O461))</f>
      </c>
      <c r="Q461" s="29"/>
    </row>
    <row customHeight="true" ht="19" r="462">
      <c r="A462" s="15">
        <v>440</v>
      </c>
      <c r="B462" s="30" t="str">
        <v>甘肃</v>
      </c>
      <c r="C462" s="27" t="str">
        <v>（12）趸售电价损益折合度电水平</v>
      </c>
      <c r="D462" s="30">
        <v>0</v>
      </c>
      <c r="E462" s="30">
        <v>0</v>
      </c>
      <c r="F462" s="30">
        <v>0</v>
      </c>
      <c r="G462" s="30">
        <v>0</v>
      </c>
      <c r="H462" s="30">
        <v>0</v>
      </c>
      <c r="I462" s="30">
        <v>0</v>
      </c>
      <c r="J462" s="30">
        <v>0</v>
      </c>
      <c r="K462" s="30">
        <v>0</v>
      </c>
      <c r="L462" s="30">
        <v>0</v>
      </c>
      <c r="M462" s="30">
        <v>0</v>
      </c>
      <c r="N462" s="30">
        <v>0</v>
      </c>
      <c r="O462" s="30">
        <v>0</v>
      </c>
      <c r="P462" s="30">
        <f>IF(SUM(D462:O462)=0,"0",AVERAGEIF(D462:O462,"&lt;&gt;0",D462:O462))</f>
      </c>
      <c r="Q462" s="29"/>
    </row>
    <row customHeight="true" ht="19" r="463">
      <c r="A463" s="15">
        <v>441</v>
      </c>
      <c r="B463" s="30" t="str">
        <v>甘肃</v>
      </c>
      <c r="C463" s="27" t="str">
        <v>（13）代理购电价格新增损益折合度电水平</v>
      </c>
      <c r="D463" s="30">
        <v>0</v>
      </c>
      <c r="E463" s="30">
        <v>0</v>
      </c>
      <c r="F463" s="30">
        <v>0</v>
      </c>
      <c r="G463" s="30">
        <v>0</v>
      </c>
      <c r="H463" s="30">
        <v>0</v>
      </c>
      <c r="I463" s="30">
        <v>0</v>
      </c>
      <c r="J463" s="30">
        <v>0</v>
      </c>
      <c r="K463" s="30">
        <v>0</v>
      </c>
      <c r="L463" s="30">
        <v>0</v>
      </c>
      <c r="M463" s="30">
        <v>0</v>
      </c>
      <c r="N463" s="30">
        <v>0</v>
      </c>
      <c r="O463" s="30">
        <v>0</v>
      </c>
      <c r="P463" s="30">
        <f>IF(SUM(D463:O463)=0,"0",AVERAGEIF(D463:O463,"&lt;&gt;0",D463:O463))</f>
      </c>
      <c r="Q463" s="29"/>
    </row>
    <row customHeight="true" ht="19" r="464">
      <c r="A464" s="15">
        <v>441</v>
      </c>
      <c r="B464" s="30" t="str">
        <v>甘肃</v>
      </c>
      <c r="C464" s="27" t="str">
        <v>（14）跨省跨区应急调度价差损益折合度电水平</v>
      </c>
      <c r="D464" s="30">
        <v>0</v>
      </c>
      <c r="E464" s="30">
        <v>0</v>
      </c>
      <c r="F464" s="30">
        <v>0</v>
      </c>
      <c r="G464" s="30">
        <v>0</v>
      </c>
      <c r="H464" s="30">
        <v>0</v>
      </c>
      <c r="I464" s="30">
        <v>0</v>
      </c>
      <c r="J464" s="30">
        <v>0</v>
      </c>
      <c r="K464" s="30">
        <v>0</v>
      </c>
      <c r="L464" s="30">
        <v>0</v>
      </c>
      <c r="M464" s="30">
        <v>0</v>
      </c>
      <c r="N464" s="30">
        <v>0</v>
      </c>
      <c r="O464" s="30">
        <v>0</v>
      </c>
      <c r="P464" s="30">
        <f>IF(SUM(D464:O464)=0,"0",AVERAGEIF(D464:O464,"&lt;&gt;0",D464:O464))</f>
      </c>
      <c r="Q464" s="29"/>
    </row>
    <row customHeight="true" ht="19" r="465">
      <c r="A465" s="15">
        <v>442</v>
      </c>
      <c r="B465" s="30" t="str">
        <v>甘肃</v>
      </c>
      <c r="C465" s="27" t="str">
        <v>（15）剩余优先发电价差损益度电水平</v>
      </c>
      <c r="D465" s="30">
        <v>0</v>
      </c>
      <c r="E465" s="30">
        <v>0</v>
      </c>
      <c r="F465" s="30">
        <v>0</v>
      </c>
      <c r="G465" s="30">
        <v>0</v>
      </c>
      <c r="H465" s="30">
        <v>0</v>
      </c>
      <c r="I465" s="30">
        <v>0</v>
      </c>
      <c r="J465" s="30">
        <v>0</v>
      </c>
      <c r="K465" s="30">
        <v>0</v>
      </c>
      <c r="L465" s="30">
        <v>0</v>
      </c>
      <c r="M465" s="30">
        <v>0</v>
      </c>
      <c r="N465" s="30">
        <v>0</v>
      </c>
      <c r="O465" s="30">
        <v>0</v>
      </c>
      <c r="P465" s="30">
        <f>IF(SUM(D465:O465)=0,"0",AVERAGEIF(D465:O465,"&lt;&gt;0",D465:O465))</f>
      </c>
      <c r="Q465" s="29"/>
    </row>
    <row customHeight="true" ht="19" r="466">
      <c r="A466" s="15">
        <v>443</v>
      </c>
      <c r="B466" s="30" t="str">
        <v>甘肃</v>
      </c>
      <c r="C466" s="27" t="str">
        <v>（16）其他费用折合度电水平</v>
      </c>
      <c r="D466" s="30">
        <v>0</v>
      </c>
      <c r="E466" s="30">
        <v>0</v>
      </c>
      <c r="F466" s="30">
        <v>0</v>
      </c>
      <c r="G466" s="30">
        <v>0</v>
      </c>
      <c r="H466" s="30">
        <v>0</v>
      </c>
      <c r="I466" s="30">
        <v>0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f>IF(SUM(D466:O466)=0,"0",AVERAGEIF(D466:O466,"&lt;&gt;0",D466:O466))</f>
      </c>
      <c r="Q466" s="29"/>
    </row>
    <row r="467">
      <c r="A467" s="15">
        <v>444</v>
      </c>
      <c r="B467" s="15" t="str">
        <v>青海</v>
      </c>
      <c r="C467" s="16" t="str">
        <v>代理工商业购电价格</v>
      </c>
      <c r="D467" s="15">
        <f>D468+D469</f>
      </c>
      <c r="E467" s="15">
        <f>E468+E469</f>
      </c>
      <c r="F467" s="15">
        <f>F468+F469</f>
      </c>
      <c r="G467" s="15">
        <f>G468+G469</f>
      </c>
      <c r="H467" s="15">
        <f>H468+H469</f>
      </c>
      <c r="I467" s="15">
        <f>I468+I469</f>
      </c>
      <c r="J467" s="15">
        <f>J468+J469</f>
      </c>
      <c r="K467" s="15">
        <f>K468+K469</f>
      </c>
      <c r="L467" s="15">
        <f>L468+L469</f>
      </c>
      <c r="M467" s="15">
        <f>M468+M469</f>
      </c>
      <c r="N467" s="15">
        <f>N468+N469</f>
      </c>
      <c r="O467" s="15">
        <f>O468+O469</f>
      </c>
      <c r="P467" s="15">
        <f>IF(SUM(D467:O467)=0,"0",AVERAGEIF(D467:O467,"&lt;&gt;0",D467:O467))</f>
      </c>
      <c r="Q467" s="14"/>
    </row>
    <row customHeight="true" ht="19" r="468">
      <c r="A468" s="15">
        <v>445</v>
      </c>
      <c r="B468" s="15" t="str">
        <v>青海</v>
      </c>
      <c r="C468" s="16" t="str">
        <v>（1）当月平均购电价格</v>
      </c>
      <c r="D468" s="15">
        <v>0.306354</v>
      </c>
      <c r="E468" s="15">
        <v>0.292519</v>
      </c>
      <c r="F468" s="15">
        <v>0.286323</v>
      </c>
      <c r="G468" s="15">
        <v>0.278129</v>
      </c>
      <c r="H468" s="15">
        <v>0.254056</v>
      </c>
      <c r="I468" s="15">
        <v>0.238671</v>
      </c>
      <c r="J468" s="15">
        <v>0.238951</v>
      </c>
      <c r="K468" s="15">
        <v>0.275443</v>
      </c>
      <c r="L468" s="15">
        <v>0.273349</v>
      </c>
      <c r="M468" s="15">
        <v>0.298035</v>
      </c>
      <c r="N468" s="15">
        <v>0.333832</v>
      </c>
      <c r="O468" s="15">
        <v>0.279435</v>
      </c>
      <c r="P468" s="15">
        <f>IF(SUM(D468:O468)=0,"0",AVERAGEIF(D468:O468,"&lt;&gt;0",D468:O468))</f>
      </c>
      <c r="Q468" s="14"/>
    </row>
    <row customHeight="true" ht="19" r="469">
      <c r="A469" s="15">
        <v>446</v>
      </c>
      <c r="B469" s="15" t="str">
        <v>青海</v>
      </c>
      <c r="C469" s="16" t="str">
        <v>（2）历史偏差电费折价</v>
      </c>
      <c r="D469" s="15">
        <v>-0.002659</v>
      </c>
      <c r="E469" s="15">
        <v>0.022898</v>
      </c>
      <c r="F469" s="15">
        <v>-0.006159</v>
      </c>
      <c r="G469" s="15">
        <v>0.006449</v>
      </c>
      <c r="H469" s="15">
        <v>0.029768</v>
      </c>
      <c r="I469" s="15">
        <v>-0.012627</v>
      </c>
      <c r="J469" s="15">
        <v>0.005776</v>
      </c>
      <c r="K469" s="15">
        <v>-0.002008</v>
      </c>
      <c r="L469" s="15">
        <v>-0.0148</v>
      </c>
      <c r="M469" s="15">
        <v>0.019151</v>
      </c>
      <c r="N469" s="15">
        <v>0.021364</v>
      </c>
      <c r="O469" s="15">
        <v>0.004787</v>
      </c>
      <c r="P469" s="15">
        <f>IF(SUM(D469:O469)=0,"0",AVERAGEIF(D469:O469,"&lt;&gt;0",D469:O469))</f>
      </c>
      <c r="Q469" s="14"/>
    </row>
    <row customHeight="true" ht="19" r="470">
      <c r="A470" s="15">
        <v>447</v>
      </c>
      <c r="B470" s="15" t="str">
        <v>青海</v>
      </c>
      <c r="C470" s="16" t="str">
        <v>上网环节线损费用折价</v>
      </c>
      <c r="D470" s="15">
        <v>0.011472</v>
      </c>
      <c r="E470" s="15">
        <v>0.011914</v>
      </c>
      <c r="F470" s="15">
        <v>0.010583</v>
      </c>
      <c r="G470" s="15">
        <v>0.010749</v>
      </c>
      <c r="H470" s="15">
        <v>0.010721</v>
      </c>
      <c r="I470" s="15">
        <v>0.008538</v>
      </c>
      <c r="J470" s="15">
        <v>0.009244</v>
      </c>
      <c r="K470" s="15">
        <v>0.010329</v>
      </c>
      <c r="L470" s="15">
        <v>0.009766</v>
      </c>
      <c r="M470" s="15">
        <v>0.011981</v>
      </c>
      <c r="N470" s="15">
        <v>0.013417</v>
      </c>
      <c r="O470" s="15">
        <v>0.010736</v>
      </c>
      <c r="P470" s="15">
        <f>IF(SUM(D470:O470)=0,"0",AVERAGEIF(D470:O470,"&lt;&gt;0",D470:O470))</f>
      </c>
      <c r="Q470" s="14"/>
    </row>
    <row r="471">
      <c r="A471" s="15">
        <v>448</v>
      </c>
      <c r="B471" s="15" t="str">
        <v>青海</v>
      </c>
      <c r="C471" s="16" t="str">
        <v>系统运行费用折合度电水平</v>
      </c>
      <c r="D471" s="15">
        <f>SUM(D472:D487)</f>
      </c>
      <c r="E471" s="15">
        <f>SUM(E472:E487)</f>
      </c>
      <c r="F471" s="15">
        <f>SUM(F472:F487)</f>
      </c>
      <c r="G471" s="15">
        <f>SUM(G472:G487)</f>
      </c>
      <c r="H471" s="15">
        <f>SUM(H472:H487)</f>
      </c>
      <c r="I471" s="15">
        <f>SUM(I472:I487)</f>
      </c>
      <c r="J471" s="15">
        <f>SUM(J472:J487)</f>
      </c>
      <c r="K471" s="15">
        <f>SUM(K472:K487)</f>
      </c>
      <c r="L471" s="15">
        <f>SUM(L472:L487)</f>
      </c>
      <c r="M471" s="15">
        <f>SUM(M472:M487)</f>
      </c>
      <c r="N471" s="15">
        <f>SUM(N472:N487)</f>
      </c>
      <c r="O471" s="15">
        <f>SUM(O472:O487)</f>
      </c>
      <c r="P471" s="15">
        <f>IF(SUM(D471:O471)=0,"0",AVERAGEIF(D471:O471,"&lt;&gt;0",D471:O471))</f>
      </c>
      <c r="Q471" s="14"/>
    </row>
    <row customHeight="true" ht="19" r="472">
      <c r="A472" s="15">
        <v>449</v>
      </c>
      <c r="B472" s="15" t="str">
        <v>青海</v>
      </c>
      <c r="C472" s="16" t="str">
        <v>（1）辅助服务费用折合度电水平</v>
      </c>
      <c r="D472" s="15">
        <v>0</v>
      </c>
      <c r="E472" s="15">
        <v>0</v>
      </c>
      <c r="F472" s="15">
        <v>0</v>
      </c>
      <c r="G472" s="15">
        <v>0</v>
      </c>
      <c r="H472" s="15">
        <v>0</v>
      </c>
      <c r="I472" s="15">
        <v>0</v>
      </c>
      <c r="J472" s="15">
        <v>0</v>
      </c>
      <c r="K472" s="15">
        <v>0</v>
      </c>
      <c r="L472" s="15">
        <v>0</v>
      </c>
      <c r="M472" s="15">
        <v>0</v>
      </c>
      <c r="N472" s="15">
        <v>0</v>
      </c>
      <c r="O472" s="15">
        <v>0</v>
      </c>
      <c r="P472" s="15">
        <f>IF(SUM(D472:O472)=0,"0",AVERAGEIF(D472:O472,"&lt;&gt;0",D472:O472))</f>
      </c>
      <c r="Q472" s="14"/>
    </row>
    <row customHeight="true" ht="19" r="473">
      <c r="A473" s="15">
        <v>450</v>
      </c>
      <c r="B473" s="15" t="str">
        <v>青海</v>
      </c>
      <c r="C473" s="16" t="str">
        <v>（2）抽水蓄能容量电费折合度电水平</v>
      </c>
      <c r="D473" s="15">
        <v>0.001014</v>
      </c>
      <c r="E473" s="15">
        <v>0.001127</v>
      </c>
      <c r="F473" s="15">
        <v>0.001038</v>
      </c>
      <c r="G473" s="15">
        <v>0.001073</v>
      </c>
      <c r="H473" s="15">
        <v>0.00103</v>
      </c>
      <c r="I473" s="15">
        <v>0.001108</v>
      </c>
      <c r="J473" s="15">
        <v>0.001072</v>
      </c>
      <c r="K473" s="15">
        <v>0.001041</v>
      </c>
      <c r="L473" s="15">
        <v>0.001054</v>
      </c>
      <c r="M473" s="15">
        <v>0.000962</v>
      </c>
      <c r="N473" s="15">
        <v>0.001051</v>
      </c>
      <c r="O473" s="15">
        <v>0.00098</v>
      </c>
      <c r="P473" s="15">
        <f>IF(SUM(D473:O473)=0,"0",AVERAGEIF(D473:O473,"&lt;&gt;0",D473:O473))</f>
      </c>
      <c r="Q473" s="14"/>
    </row>
    <row customHeight="true" ht="19" r="474">
      <c r="A474" s="15">
        <v>451</v>
      </c>
      <c r="B474" s="15" t="str">
        <v>青海</v>
      </c>
      <c r="C474" s="16" t="str">
        <v>（3）上网环节线损代理采购损益折合度电水平</v>
      </c>
      <c r="D474" s="15">
        <v>-0.005358</v>
      </c>
      <c r="E474" s="15">
        <v>-0.003493</v>
      </c>
      <c r="F474" s="15">
        <v>-0.002399</v>
      </c>
      <c r="G474" s="15">
        <v>-0.001752</v>
      </c>
      <c r="H474" s="15">
        <v>-0.008096</v>
      </c>
      <c r="I474" s="15">
        <v>-0.0042</v>
      </c>
      <c r="J474" s="15">
        <v>-0.005092</v>
      </c>
      <c r="K474" s="15">
        <v>-0.005676</v>
      </c>
      <c r="L474" s="15">
        <v>-0.00635</v>
      </c>
      <c r="M474" s="15">
        <v>-0.005175</v>
      </c>
      <c r="N474" s="15">
        <v>-0.003672</v>
      </c>
      <c r="O474" s="15">
        <v>-0.002933</v>
      </c>
      <c r="P474" s="15">
        <f>IF(SUM(D474:O474)=0,"0",AVERAGEIF(D474:O474,"&lt;&gt;0",D474:O474))</f>
      </c>
      <c r="Q474" s="14"/>
    </row>
    <row customHeight="true" ht="19" r="475">
      <c r="A475" s="15">
        <v>452</v>
      </c>
      <c r="B475" s="15" t="str">
        <v>青海</v>
      </c>
      <c r="C475" s="16" t="str">
        <v>（4）电价交叉补贴新增损益折合度电水平</v>
      </c>
      <c r="D475" s="15">
        <v>0.005859</v>
      </c>
      <c r="E475" s="15">
        <v>0.010373</v>
      </c>
      <c r="F475" s="15">
        <v>0.005466</v>
      </c>
      <c r="G475" s="15">
        <v>-0.0011</v>
      </c>
      <c r="H475" s="15">
        <v>-0.002278</v>
      </c>
      <c r="I475" s="15">
        <v>-0.006365</v>
      </c>
      <c r="J475" s="15">
        <v>-0.009011</v>
      </c>
      <c r="K475" s="15">
        <v>-0.008872</v>
      </c>
      <c r="L475" s="15">
        <v>-0.006697</v>
      </c>
      <c r="M475" s="15">
        <v>-0.003356</v>
      </c>
      <c r="N475" s="15">
        <v>-0.001349</v>
      </c>
      <c r="O475" s="15">
        <v>0.009566</v>
      </c>
      <c r="P475" s="15">
        <f>IF(SUM(D475:O475)=0,"0",AVERAGEIF(D475:O475,"&lt;&gt;0",D475:O475))</f>
      </c>
      <c r="Q475" s="14"/>
    </row>
    <row customHeight="true" ht="19" r="476">
      <c r="A476" s="15">
        <v>453</v>
      </c>
      <c r="B476" s="15" t="str">
        <v>青海</v>
      </c>
      <c r="C476" s="16" t="str">
        <v>（5）煤电容量电费折合度电水平</v>
      </c>
      <c r="D476" s="15">
        <v>0.00491</v>
      </c>
      <c r="E476" s="15">
        <v>0.005749</v>
      </c>
      <c r="F476" s="15">
        <v>0.005119</v>
      </c>
      <c r="G476" s="15">
        <v>0.004794</v>
      </c>
      <c r="H476" s="15">
        <v>0.005199</v>
      </c>
      <c r="I476" s="15">
        <v>0.00529</v>
      </c>
      <c r="J476" s="15">
        <v>0.005364</v>
      </c>
      <c r="K476" s="15">
        <v>0.004643</v>
      </c>
      <c r="L476" s="15">
        <v>0.004246</v>
      </c>
      <c r="M476" s="15">
        <v>0.004786</v>
      </c>
      <c r="N476" s="15">
        <v>0.006246</v>
      </c>
      <c r="O476" s="15">
        <v>0.007239</v>
      </c>
      <c r="P476" s="15">
        <f>IF(SUM(D476:O476)=0,"0",AVERAGEIF(D476:O476,"&lt;&gt;0",D476:O476))</f>
      </c>
      <c r="Q476" s="14"/>
    </row>
    <row customHeight="true" ht="19" r="477">
      <c r="A477" s="15">
        <v>454</v>
      </c>
      <c r="B477" s="15" t="str">
        <v>青海</v>
      </c>
      <c r="C477" s="16" t="str">
        <v>（6）天然气发电容量电费折合度电水平</v>
      </c>
      <c r="D477" s="15">
        <v>0.000254</v>
      </c>
      <c r="E477" s="15">
        <v>0.000274</v>
      </c>
      <c r="F477" s="15">
        <v>0.000253</v>
      </c>
      <c r="G477" s="15">
        <v>0.000233</v>
      </c>
      <c r="H477" s="15">
        <v>0.00051</v>
      </c>
      <c r="I477" s="15">
        <v>0.000553</v>
      </c>
      <c r="J477" s="15">
        <v>0.000524</v>
      </c>
      <c r="K477" s="15">
        <v>0.000508</v>
      </c>
      <c r="L477" s="15">
        <v>0.000498</v>
      </c>
      <c r="M477" s="15">
        <v>0.00047</v>
      </c>
      <c r="N477" s="15">
        <v>0.000497</v>
      </c>
      <c r="O477" s="15">
        <v>0.000478</v>
      </c>
      <c r="P477" s="15">
        <f>IF(SUM(D477:O477)=0,"0",AVERAGEIF(D477:O477,"&lt;&gt;0",D477:O477))</f>
      </c>
      <c r="Q477" s="14"/>
    </row>
    <row customHeight="true" ht="19" r="478">
      <c r="A478" s="15">
        <v>455</v>
      </c>
      <c r="B478" s="15" t="str">
        <v>青海</v>
      </c>
      <c r="C478" s="16" t="str">
        <v>（7）水电合约价差损益折合度电水平</v>
      </c>
      <c r="D478" s="15">
        <v>0</v>
      </c>
      <c r="E478" s="15">
        <v>0</v>
      </c>
      <c r="F478" s="15">
        <v>0</v>
      </c>
      <c r="G478" s="15">
        <v>0</v>
      </c>
      <c r="H478" s="15">
        <v>0</v>
      </c>
      <c r="I478" s="15">
        <v>0</v>
      </c>
      <c r="J478" s="15">
        <v>0</v>
      </c>
      <c r="K478" s="15">
        <v>0</v>
      </c>
      <c r="L478" s="15">
        <v>0</v>
      </c>
      <c r="M478" s="15">
        <v>0</v>
      </c>
      <c r="N478" s="15">
        <v>0</v>
      </c>
      <c r="O478" s="15">
        <v>0</v>
      </c>
      <c r="P478" s="15">
        <f>IF(SUM(D478:O478)=0,"0",AVERAGEIF(D478:O478,"&lt;&gt;0",D478:O478))</f>
      </c>
      <c r="Q478" s="14"/>
    </row>
    <row customHeight="true" ht="19" r="479">
      <c r="A479" s="15">
        <v>456</v>
      </c>
      <c r="B479" s="15" t="str">
        <v>青海</v>
      </c>
      <c r="C479" s="16" t="str">
        <v>（8）独立储能容量电费折合度电水平</v>
      </c>
      <c r="D479" s="15">
        <v>0</v>
      </c>
      <c r="E479" s="15">
        <v>0</v>
      </c>
      <c r="F479" s="15">
        <v>0</v>
      </c>
      <c r="G479" s="15">
        <v>0</v>
      </c>
      <c r="H479" s="15">
        <v>0</v>
      </c>
      <c r="I479" s="15">
        <v>0</v>
      </c>
      <c r="J479" s="15">
        <v>0</v>
      </c>
      <c r="K479" s="15">
        <v>0</v>
      </c>
      <c r="L479" s="15">
        <v>0</v>
      </c>
      <c r="M479" s="15">
        <v>0</v>
      </c>
      <c r="N479" s="15">
        <v>0</v>
      </c>
      <c r="O479" s="15">
        <v>0</v>
      </c>
      <c r="P479" s="15">
        <f>IF(SUM(D479:O479)=0,"0",AVERAGEIF(D479:O479,"&lt;&gt;0",D479:O479))</f>
      </c>
      <c r="Q479" s="14"/>
    </row>
    <row customHeight="true" ht="19" r="480">
      <c r="A480" s="15">
        <v>457</v>
      </c>
      <c r="B480" s="15" t="str">
        <v>青海</v>
      </c>
      <c r="C480" s="16" t="str">
        <v>（9）工商业峰谷分时损益折合度电水平</v>
      </c>
      <c r="D480" s="15">
        <v>0.003626</v>
      </c>
      <c r="E480" s="15">
        <v>0.004671</v>
      </c>
      <c r="F480" s="15">
        <v>0.004605</v>
      </c>
      <c r="G480" s="15">
        <v>0.004168</v>
      </c>
      <c r="H480" s="15">
        <v>0.004482</v>
      </c>
      <c r="I480" s="15">
        <v>0.004355</v>
      </c>
      <c r="J480" s="15">
        <v>0.004865</v>
      </c>
      <c r="K480" s="15">
        <v>0.007371</v>
      </c>
      <c r="L480" s="15">
        <v>0.007523</v>
      </c>
      <c r="M480" s="15">
        <v>0.006154</v>
      </c>
      <c r="N480" s="15">
        <v>0.003433</v>
      </c>
      <c r="O480" s="15">
        <v>0.006851</v>
      </c>
      <c r="P480" s="15">
        <f>IF(SUM(D480:O480)=0,"0",AVERAGEIF(D480:O480,"&lt;&gt;0",D480:O480))</f>
      </c>
      <c r="Q480" s="14"/>
    </row>
    <row customHeight="true" ht="19" r="481">
      <c r="A481" s="15">
        <v>458</v>
      </c>
      <c r="B481" s="15" t="str">
        <v>青海</v>
      </c>
      <c r="C481" s="16" t="str">
        <v>（10）功率因数调整电费损益折合度电水平</v>
      </c>
      <c r="D481" s="15">
        <v>0.001897</v>
      </c>
      <c r="E481" s="15">
        <v>0.002457</v>
      </c>
      <c r="F481" s="15">
        <v>0.001293</v>
      </c>
      <c r="G481" s="15">
        <v>0.001653</v>
      </c>
      <c r="H481" s="15">
        <v>0.00207</v>
      </c>
      <c r="I481" s="15">
        <v>0.001807</v>
      </c>
      <c r="J481" s="15">
        <v>0.001649</v>
      </c>
      <c r="K481" s="15">
        <v>0.001569</v>
      </c>
      <c r="L481" s="15">
        <v>0.001659</v>
      </c>
      <c r="M481" s="15">
        <v>0.001808</v>
      </c>
      <c r="N481" s="15">
        <v>0.001499</v>
      </c>
      <c r="O481" s="15">
        <v>0.002024</v>
      </c>
      <c r="P481" s="15">
        <f>IF(SUM(D481:O481)=0,"0",AVERAGEIF(D481:O481,"&lt;&gt;0",D481:O481))</f>
      </c>
      <c r="Q481" s="14"/>
    </row>
    <row customHeight="true" ht="19" r="482">
      <c r="A482" s="15">
        <v>459</v>
      </c>
      <c r="B482" s="15" t="str">
        <v>青海</v>
      </c>
      <c r="C482" s="16" t="str">
        <v>（11）新能源可持续发展价格结算机制差价结算费用折合度电水平</v>
      </c>
      <c r="D482" s="15">
        <v>0.001945</v>
      </c>
      <c r="E482" s="15">
        <v>0.002163</v>
      </c>
      <c r="F482" s="15">
        <v>0.002101</v>
      </c>
      <c r="G482" s="15">
        <v>0.002088</v>
      </c>
      <c r="H482" s="15">
        <v>0.002155</v>
      </c>
      <c r="I482" s="15">
        <v>0.004025</v>
      </c>
      <c r="J482" s="15">
        <v>0.003988</v>
      </c>
      <c r="K482" s="15">
        <v>0.002832</v>
      </c>
      <c r="L482" s="15">
        <v>0.003061</v>
      </c>
      <c r="M482" s="15">
        <v>0.002351</v>
      </c>
      <c r="N482" s="15">
        <v>0.002993</v>
      </c>
      <c r="O482" s="15">
        <v>0.003227</v>
      </c>
      <c r="P482" s="15">
        <f>IF(SUM(D482:O482)=0,"0",AVERAGEIF(D482:O482,"&lt;&gt;0",D482:O482))</f>
      </c>
      <c r="Q482" s="14"/>
    </row>
    <row customHeight="true" ht="19" r="483">
      <c r="A483" s="15">
        <v>460</v>
      </c>
      <c r="B483" s="15" t="str">
        <v>青海</v>
      </c>
      <c r="C483" s="16" t="str">
        <v>（12）趸售电价损益折合度电水平</v>
      </c>
      <c r="D483" s="15">
        <v>0</v>
      </c>
      <c r="E483" s="15">
        <v>0</v>
      </c>
      <c r="F483" s="15">
        <v>0</v>
      </c>
      <c r="G483" s="15">
        <v>0</v>
      </c>
      <c r="H483" s="15">
        <v>0</v>
      </c>
      <c r="I483" s="15">
        <v>0</v>
      </c>
      <c r="J483" s="15">
        <v>0</v>
      </c>
      <c r="K483" s="15">
        <v>0</v>
      </c>
      <c r="L483" s="15">
        <v>0</v>
      </c>
      <c r="M483" s="15">
        <v>0</v>
      </c>
      <c r="N483" s="15">
        <v>0</v>
      </c>
      <c r="O483" s="15">
        <v>0</v>
      </c>
      <c r="P483" s="15">
        <f>IF(SUM(D483:O483)=0,"0",AVERAGEIF(D483:O483,"&lt;&gt;0",D483:O483))</f>
      </c>
      <c r="Q483" s="14"/>
    </row>
    <row customHeight="true" ht="19" r="484">
      <c r="A484" s="15">
        <v>460</v>
      </c>
      <c r="B484" s="15" t="str">
        <v>青海</v>
      </c>
      <c r="C484" s="39" t="str">
        <v>（13）代理购电价格新增损益折合度电水平</v>
      </c>
      <c r="D484" s="15">
        <v>0</v>
      </c>
      <c r="E484" s="15">
        <v>0</v>
      </c>
      <c r="F484" s="15">
        <v>0</v>
      </c>
      <c r="G484" s="15">
        <v>0</v>
      </c>
      <c r="H484" s="15">
        <v>0</v>
      </c>
      <c r="I484" s="15">
        <v>0</v>
      </c>
      <c r="J484" s="15">
        <v>0</v>
      </c>
      <c r="K484" s="15">
        <v>0</v>
      </c>
      <c r="L484" s="15">
        <v>0</v>
      </c>
      <c r="M484" s="15">
        <v>0</v>
      </c>
      <c r="N484" s="15">
        <v>0</v>
      </c>
      <c r="O484" s="15">
        <v>0</v>
      </c>
      <c r="P484" s="15">
        <f>IF(SUM(D484:O484)=0,"0",AVERAGEIF(D484:O484,"&lt;&gt;0",D484:O484))</f>
      </c>
      <c r="Q484" s="14"/>
    </row>
    <row customHeight="true" ht="19" r="485">
      <c r="A485" s="15">
        <v>461</v>
      </c>
      <c r="B485" s="15" t="str">
        <v>青海</v>
      </c>
      <c r="C485" s="39" t="str">
        <v>（14）跨省跨区应急调度价差损益折合度电水平</v>
      </c>
      <c r="D485" s="15">
        <v>0</v>
      </c>
      <c r="E485" s="15">
        <v>0</v>
      </c>
      <c r="F485" s="15">
        <v>0</v>
      </c>
      <c r="G485" s="15">
        <v>0</v>
      </c>
      <c r="H485" s="15">
        <v>0</v>
      </c>
      <c r="I485" s="15">
        <v>0</v>
      </c>
      <c r="J485" s="15">
        <v>0</v>
      </c>
      <c r="K485" s="15">
        <v>0</v>
      </c>
      <c r="L485" s="15">
        <v>0</v>
      </c>
      <c r="M485" s="15">
        <v>0</v>
      </c>
      <c r="N485" s="15">
        <v>0</v>
      </c>
      <c r="O485" s="15">
        <v>0</v>
      </c>
      <c r="P485" s="15">
        <f>IF(SUM(D485:O485)=0,"0",AVERAGEIF(D485:O485,"&lt;&gt;0",D485:O485))</f>
      </c>
      <c r="Q485" s="14"/>
    </row>
    <row customHeight="true" ht="19" r="486">
      <c r="A486" s="15">
        <v>462</v>
      </c>
      <c r="B486" s="15" t="str">
        <v>青海</v>
      </c>
      <c r="C486" s="39" t="str">
        <v>（15）剩余优先发电价差损益度电水平</v>
      </c>
      <c r="D486" s="15">
        <v>0</v>
      </c>
      <c r="E486" s="15">
        <v>0</v>
      </c>
      <c r="F486" s="15">
        <v>0</v>
      </c>
      <c r="G486" s="15">
        <v>0</v>
      </c>
      <c r="H486" s="15">
        <v>0</v>
      </c>
      <c r="I486" s="15">
        <v>0</v>
      </c>
      <c r="J486" s="15">
        <v>0</v>
      </c>
      <c r="K486" s="15">
        <v>0</v>
      </c>
      <c r="L486" s="15">
        <v>0</v>
      </c>
      <c r="M486" s="15">
        <v>0</v>
      </c>
      <c r="N486" s="15">
        <v>0</v>
      </c>
      <c r="O486" s="15">
        <v>0</v>
      </c>
      <c r="P486" s="15">
        <f>IF(SUM(D486:O486)=0,"0",AVERAGEIF(D486:O486,"&lt;&gt;0",D486:O486))</f>
      </c>
      <c r="Q486" s="14"/>
    </row>
    <row customHeight="true" ht="19" r="487">
      <c r="A487" s="15">
        <v>463</v>
      </c>
      <c r="B487" s="15" t="str">
        <v>青海</v>
      </c>
      <c r="C487" s="39" t="str">
        <v>（16）其他费用折合度电水平</v>
      </c>
      <c r="D487" s="15">
        <v>0</v>
      </c>
      <c r="E487" s="15">
        <v>0</v>
      </c>
      <c r="F487" s="15">
        <v>0</v>
      </c>
      <c r="G487" s="15">
        <v>0</v>
      </c>
      <c r="H487" s="15">
        <v>0</v>
      </c>
      <c r="I487" s="15">
        <v>0</v>
      </c>
      <c r="J487" s="15">
        <v>0</v>
      </c>
      <c r="K487" s="15">
        <v>0</v>
      </c>
      <c r="L487" s="15">
        <v>0</v>
      </c>
      <c r="M487" s="15">
        <v>0</v>
      </c>
      <c r="N487" s="15">
        <v>0</v>
      </c>
      <c r="O487" s="15">
        <v>0</v>
      </c>
      <c r="P487" s="15">
        <f>IF(SUM(D487:O487)=0,"0",AVERAGEIF(D487:O487,"&lt;&gt;0",D487:O487))</f>
      </c>
      <c r="Q487" s="14"/>
    </row>
    <row r="488">
      <c r="A488" s="15">
        <v>464</v>
      </c>
      <c r="B488" s="30" t="str">
        <v>宁夏</v>
      </c>
      <c r="C488" s="27" t="str">
        <v>代理工商业购电价格</v>
      </c>
      <c r="D488" s="30">
        <f>D489+D490</f>
      </c>
      <c r="E488" s="30">
        <f>E489+E490</f>
      </c>
      <c r="F488" s="30">
        <f>F489+F490</f>
      </c>
      <c r="G488" s="30">
        <f>G489+G490</f>
      </c>
      <c r="H488" s="30">
        <f>H489+H490</f>
      </c>
      <c r="I488" s="30">
        <f>I489+I490</f>
      </c>
      <c r="J488" s="30">
        <f>J489+J490</f>
      </c>
      <c r="K488" s="30">
        <f>K489+K490</f>
      </c>
      <c r="L488" s="30">
        <f>L489+L490</f>
      </c>
      <c r="M488" s="30">
        <f>M489+M490</f>
      </c>
      <c r="N488" s="30">
        <f>N489+N490</f>
      </c>
      <c r="O488" s="30">
        <f>O489+O490</f>
      </c>
      <c r="P488" s="30">
        <f>IF(SUM(D488:O488)=0,"0",AVERAGEIF(D488:O488,"&lt;&gt;0",D488:O488))</f>
      </c>
      <c r="Q488" s="29"/>
    </row>
    <row customHeight="true" ht="19" r="489">
      <c r="A489" s="15">
        <v>465</v>
      </c>
      <c r="B489" s="30" t="str">
        <v>宁夏</v>
      </c>
      <c r="C489" s="27" t="str">
        <v>（1）当月平均购电价格</v>
      </c>
      <c r="D489" s="30">
        <v>0.3073</v>
      </c>
      <c r="E489" s="30">
        <v>0.2941</v>
      </c>
      <c r="F489" s="30">
        <v>0.2895</v>
      </c>
      <c r="G489" s="30">
        <v>0.2884</v>
      </c>
      <c r="H489" s="30">
        <v>0.2906</v>
      </c>
      <c r="I489" s="30">
        <v>0.2782</v>
      </c>
      <c r="J489" s="30">
        <v>0.2858</v>
      </c>
      <c r="K489" s="30">
        <v>0.2925</v>
      </c>
      <c r="L489" s="30">
        <v>0.2948</v>
      </c>
      <c r="M489" s="30">
        <v>0.2953</v>
      </c>
      <c r="N489" s="30">
        <v>0.2937</v>
      </c>
      <c r="O489" s="30">
        <v>0.2911</v>
      </c>
      <c r="P489" s="30">
        <f>IF(SUM(D489:O489)=0,"0",AVERAGEIF(D489:O489,"&lt;&gt;0",D489:O489))</f>
      </c>
      <c r="Q489" s="29"/>
    </row>
    <row customHeight="true" ht="19" r="490">
      <c r="A490" s="15">
        <v>466</v>
      </c>
      <c r="B490" s="30" t="str">
        <v>宁夏</v>
      </c>
      <c r="C490" s="27" t="str">
        <v>（2）历史偏差电费折价</v>
      </c>
      <c r="D490" s="30">
        <v>-0.0043</v>
      </c>
      <c r="E490" s="30">
        <v>0.0172</v>
      </c>
      <c r="F490" s="30">
        <v>0.0009</v>
      </c>
      <c r="G490" s="30">
        <v>0.0024</v>
      </c>
      <c r="H490" s="30">
        <v>0.0015</v>
      </c>
      <c r="I490" s="30">
        <v>-0.0052</v>
      </c>
      <c r="J490" s="30">
        <v>-0.0179</v>
      </c>
      <c r="K490" s="30">
        <v>-0.0059</v>
      </c>
      <c r="L490" s="30">
        <v>-0.0049</v>
      </c>
      <c r="M490" s="30">
        <v>-0.0393</v>
      </c>
      <c r="N490" s="30">
        <v>-0.0144</v>
      </c>
      <c r="O490" s="30">
        <v>-0.0052</v>
      </c>
      <c r="P490" s="30">
        <f>IF(SUM(D490:O490)=0,"0",AVERAGEIF(D490:O490,"&lt;&gt;0",D490:O490))</f>
      </c>
      <c r="Q490" s="29"/>
    </row>
    <row customHeight="true" ht="19" r="491">
      <c r="A491" s="15">
        <v>467</v>
      </c>
      <c r="B491" s="30" t="str">
        <v>宁夏</v>
      </c>
      <c r="C491" s="27" t="str">
        <v>上网环节线损费用折价</v>
      </c>
      <c r="D491" s="30">
        <v>0.0081</v>
      </c>
      <c r="E491" s="30">
        <v>0.0083</v>
      </c>
      <c r="F491" s="30">
        <v>0.0077</v>
      </c>
      <c r="G491" s="30">
        <v>0.0077</v>
      </c>
      <c r="H491" s="30">
        <v>0.0078</v>
      </c>
      <c r="I491" s="30">
        <v>0.0073</v>
      </c>
      <c r="J491" s="30">
        <v>0.0071</v>
      </c>
      <c r="K491" s="30">
        <v>0.0076</v>
      </c>
      <c r="L491" s="30">
        <v>0.0077</v>
      </c>
      <c r="M491" s="30">
        <v>0.0068</v>
      </c>
      <c r="N491" s="30">
        <v>0.0074</v>
      </c>
      <c r="O491" s="30">
        <v>0.0076</v>
      </c>
      <c r="P491" s="30">
        <f>IF(SUM(D491:O491)=0,"0",AVERAGEIF(D491:O491,"&lt;&gt;0",D491:O491))</f>
      </c>
      <c r="Q491" s="29"/>
    </row>
    <row r="492">
      <c r="A492" s="15">
        <v>468</v>
      </c>
      <c r="B492" s="30" t="str">
        <v>宁夏</v>
      </c>
      <c r="C492" s="27" t="str">
        <v>系统运行费用折合度电水平</v>
      </c>
      <c r="D492" s="30">
        <f>SUM(D493:D508)</f>
      </c>
      <c r="E492" s="30">
        <f>SUM(E493:E508)</f>
      </c>
      <c r="F492" s="30">
        <f>SUM(F493:F508)</f>
      </c>
      <c r="G492" s="30">
        <f>SUM(G493:G508)</f>
      </c>
      <c r="H492" s="30">
        <f>SUM(H493:H508)</f>
      </c>
      <c r="I492" s="30">
        <f>SUM(I493:I508)</f>
      </c>
      <c r="J492" s="30">
        <f>SUM(J493:J508)</f>
      </c>
      <c r="K492" s="30">
        <f>SUM(K493:K508)</f>
      </c>
      <c r="L492" s="30">
        <f>SUM(L493:L508)</f>
      </c>
      <c r="M492" s="30">
        <f>SUM(M493:M508)</f>
      </c>
      <c r="N492" s="30">
        <f>SUM(N493:N508)</f>
      </c>
      <c r="O492" s="30">
        <f>SUM(O493:O508)</f>
      </c>
      <c r="P492" s="30">
        <f>IF(SUM(D492:O492)=0,"0",AVERAGEIF(D492:O492,"&lt;&gt;0",D492:O492))</f>
      </c>
      <c r="Q492" s="29"/>
    </row>
    <row customHeight="true" ht="19" r="493">
      <c r="A493" s="15">
        <v>469</v>
      </c>
      <c r="B493" s="30" t="str">
        <v>宁夏</v>
      </c>
      <c r="C493" s="27" t="str">
        <v>（1）辅助服务费用折合度电水平</v>
      </c>
      <c r="D493" s="30">
        <v>0</v>
      </c>
      <c r="E493" s="30">
        <v>0</v>
      </c>
      <c r="F493" s="30">
        <v>0</v>
      </c>
      <c r="G493" s="30">
        <v>0</v>
      </c>
      <c r="H493" s="30">
        <v>0</v>
      </c>
      <c r="I493" s="30">
        <v>0</v>
      </c>
      <c r="J493" s="30">
        <v>0</v>
      </c>
      <c r="K493" s="30">
        <v>0</v>
      </c>
      <c r="L493" s="30">
        <v>0</v>
      </c>
      <c r="M493" s="30">
        <v>0</v>
      </c>
      <c r="N493" s="30">
        <v>0</v>
      </c>
      <c r="O493" s="30">
        <v>0</v>
      </c>
      <c r="P493" s="30">
        <f>IF(SUM(D493:O493)=0,"0",AVERAGEIF(D493:O493,"&lt;&gt;0",D493:O493))</f>
      </c>
      <c r="Q493" s="29"/>
    </row>
    <row customHeight="true" ht="19" r="494">
      <c r="A494" s="15">
        <v>470</v>
      </c>
      <c r="B494" s="30" t="str">
        <v>宁夏</v>
      </c>
      <c r="C494" s="27" t="str">
        <v>（2）抽水蓄能容量电费折合度电水平</v>
      </c>
      <c r="D494" s="30">
        <v>0.001434</v>
      </c>
      <c r="E494" s="30">
        <v>0.001354</v>
      </c>
      <c r="F494" s="30">
        <v>0.000753</v>
      </c>
      <c r="G494" s="30">
        <v>0.000864</v>
      </c>
      <c r="H494" s="30">
        <v>0.000716</v>
      </c>
      <c r="I494" s="30">
        <v>0.000803</v>
      </c>
      <c r="J494" s="30">
        <v>0.000827</v>
      </c>
      <c r="K494" s="30">
        <v>0.000722</v>
      </c>
      <c r="L494" s="30">
        <v>0.000761</v>
      </c>
      <c r="M494" s="30">
        <v>0.000732</v>
      </c>
      <c r="N494" s="30">
        <v>0.000715</v>
      </c>
      <c r="O494" s="30">
        <v>0.000672</v>
      </c>
      <c r="P494" s="30">
        <f>IF(SUM(D494:O494)=0,"0",AVERAGEIF(D494:O494,"&lt;&gt;0",D494:O494))</f>
      </c>
      <c r="Q494" s="29"/>
    </row>
    <row customHeight="true" ht="19" r="495">
      <c r="A495" s="15">
        <v>471</v>
      </c>
      <c r="B495" s="30" t="str">
        <v>宁夏</v>
      </c>
      <c r="C495" s="27" t="str">
        <v>（3）上网环节线损代理采购损益折合度电水平</v>
      </c>
      <c r="D495" s="30">
        <v>-0.0008</v>
      </c>
      <c r="E495" s="30">
        <v>-0.0017</v>
      </c>
      <c r="F495" s="30">
        <v>-0.0005</v>
      </c>
      <c r="G495" s="30">
        <v>-0.0109</v>
      </c>
      <c r="H495" s="30">
        <v>-0.0044</v>
      </c>
      <c r="I495" s="30">
        <v>-0.0061</v>
      </c>
      <c r="J495" s="30">
        <v>-0.0044</v>
      </c>
      <c r="K495" s="30">
        <v>0.0006</v>
      </c>
      <c r="L495" s="30">
        <v>-0.0044</v>
      </c>
      <c r="M495" s="30">
        <v>-0.0036</v>
      </c>
      <c r="N495" s="30">
        <v>-0.0006</v>
      </c>
      <c r="O495" s="30">
        <v>0.0012</v>
      </c>
      <c r="P495" s="30">
        <f>IF(SUM(D495:O495)=0,"0",AVERAGEIF(D495:O495,"&lt;&gt;0",D495:O495))</f>
      </c>
      <c r="Q495" s="29"/>
    </row>
    <row customHeight="true" ht="19" r="496">
      <c r="A496" s="15">
        <v>472</v>
      </c>
      <c r="B496" s="30" t="str">
        <v>宁夏</v>
      </c>
      <c r="C496" s="27" t="str">
        <v>（4）电价交叉补贴新增损益折合度电水平</v>
      </c>
      <c r="D496" s="30">
        <v>0.006</v>
      </c>
      <c r="E496" s="30">
        <v>0.0046</v>
      </c>
      <c r="F496" s="30">
        <v>-0.0015</v>
      </c>
      <c r="G496" s="30">
        <v>0.0097</v>
      </c>
      <c r="H496" s="30">
        <v>0.0034</v>
      </c>
      <c r="I496" s="30">
        <v>0.0085</v>
      </c>
      <c r="J496" s="30">
        <v>0.0092</v>
      </c>
      <c r="K496" s="30">
        <v>0.0038</v>
      </c>
      <c r="L496" s="30">
        <v>-0.0072</v>
      </c>
      <c r="M496" s="30">
        <v>-0.0046</v>
      </c>
      <c r="N496" s="30">
        <v>0.0013</v>
      </c>
      <c r="O496" s="30">
        <v>0.0033</v>
      </c>
      <c r="P496" s="30">
        <f>IF(SUM(D496:O496)=0,"0",AVERAGEIF(D496:O496,"&lt;&gt;0",D496:O496))</f>
      </c>
      <c r="Q496" s="29"/>
    </row>
    <row customHeight="true" ht="19" r="497">
      <c r="A497" s="15">
        <v>473</v>
      </c>
      <c r="B497" s="30" t="str">
        <v>宁夏</v>
      </c>
      <c r="C497" s="27" t="str">
        <v>（5）煤电容量电费折合度电水平</v>
      </c>
      <c r="D497" s="30">
        <v>0.0152</v>
      </c>
      <c r="E497" s="30">
        <v>0.0184</v>
      </c>
      <c r="F497" s="30">
        <v>0.0145</v>
      </c>
      <c r="G497" s="30">
        <v>0.017</v>
      </c>
      <c r="H497" s="30">
        <v>0.0147</v>
      </c>
      <c r="I497" s="30">
        <v>0.0144</v>
      </c>
      <c r="J497" s="30">
        <v>0.0164</v>
      </c>
      <c r="K497" s="30">
        <v>0.0159</v>
      </c>
      <c r="L497" s="30">
        <v>0.0142</v>
      </c>
      <c r="M497" s="30">
        <v>0.0134</v>
      </c>
      <c r="N497" s="30">
        <v>0.0152</v>
      </c>
      <c r="O497" s="30">
        <v>0.0142</v>
      </c>
      <c r="P497" s="30">
        <f>IF(SUM(D497:O497)=0,"0",AVERAGEIF(D497:O497,"&lt;&gt;0",D497:O497))</f>
      </c>
      <c r="Q497" s="29"/>
    </row>
    <row customHeight="true" ht="19" r="498">
      <c r="A498" s="15">
        <v>474</v>
      </c>
      <c r="B498" s="30" t="str">
        <v>宁夏</v>
      </c>
      <c r="C498" s="27" t="str">
        <v>（6）天然气发电容量电费折合度电水平</v>
      </c>
      <c r="D498" s="30">
        <v>0</v>
      </c>
      <c r="E498" s="30">
        <v>0</v>
      </c>
      <c r="F498" s="30">
        <v>0</v>
      </c>
      <c r="G498" s="30">
        <v>0</v>
      </c>
      <c r="H498" s="30">
        <v>0</v>
      </c>
      <c r="I498" s="30">
        <v>0</v>
      </c>
      <c r="J498" s="30">
        <v>0</v>
      </c>
      <c r="K498" s="30">
        <v>0</v>
      </c>
      <c r="L498" s="30">
        <v>0</v>
      </c>
      <c r="M498" s="30">
        <v>0</v>
      </c>
      <c r="N498" s="30">
        <v>0</v>
      </c>
      <c r="O498" s="30">
        <v>0</v>
      </c>
      <c r="P498" s="30">
        <f>IF(SUM(D498:O498)=0,"0",AVERAGEIF(D498:O498,"&lt;&gt;0",D498:O498))</f>
      </c>
      <c r="Q498" s="29"/>
    </row>
    <row customHeight="true" ht="19" r="499">
      <c r="A499" s="15">
        <v>475</v>
      </c>
      <c r="B499" s="30" t="str">
        <v>宁夏</v>
      </c>
      <c r="C499" s="27" t="str">
        <v>（7）水电合约价差损益折合度电水平</v>
      </c>
      <c r="D499" s="30">
        <v>0</v>
      </c>
      <c r="E499" s="30">
        <v>0</v>
      </c>
      <c r="F499" s="30">
        <v>0</v>
      </c>
      <c r="G499" s="30">
        <v>0</v>
      </c>
      <c r="H499" s="30">
        <v>0</v>
      </c>
      <c r="I499" s="30">
        <v>0</v>
      </c>
      <c r="J499" s="30">
        <v>0</v>
      </c>
      <c r="K499" s="30">
        <v>0</v>
      </c>
      <c r="L499" s="30">
        <v>0</v>
      </c>
      <c r="M499" s="30">
        <v>0</v>
      </c>
      <c r="N499" s="30">
        <v>0</v>
      </c>
      <c r="O499" s="30">
        <v>0</v>
      </c>
      <c r="P499" s="30">
        <f>IF(SUM(D499:O499)=0,"0",AVERAGEIF(D499:O499,"&lt;&gt;0",D499:O499))</f>
      </c>
      <c r="Q499" s="29"/>
    </row>
    <row customHeight="true" ht="19" r="500">
      <c r="A500" s="15">
        <v>476</v>
      </c>
      <c r="B500" s="30" t="str">
        <v>宁夏</v>
      </c>
      <c r="C500" s="27" t="str">
        <v>（8）独立储能容量电费折合度电水平</v>
      </c>
      <c r="D500" s="30">
        <v>0</v>
      </c>
      <c r="E500" s="30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0</v>
      </c>
      <c r="M500" s="30">
        <v>0</v>
      </c>
      <c r="N500" s="30">
        <v>0</v>
      </c>
      <c r="O500" s="30">
        <v>0</v>
      </c>
      <c r="P500" s="30">
        <f>IF(SUM(D500:O500)=0,"0",AVERAGEIF(D500:O500,"&lt;&gt;0",D500:O500))</f>
      </c>
      <c r="Q500" s="29"/>
    </row>
    <row customHeight="true" ht="19" r="501">
      <c r="A501" s="15">
        <v>477</v>
      </c>
      <c r="B501" s="30" t="str">
        <v>宁夏</v>
      </c>
      <c r="C501" s="27" t="str">
        <v>（9）工商业峰谷分时损益折合度电水平</v>
      </c>
      <c r="D501" s="30">
        <v>0</v>
      </c>
      <c r="E501" s="30">
        <v>0</v>
      </c>
      <c r="F501" s="30">
        <v>0</v>
      </c>
      <c r="G501" s="30">
        <v>0</v>
      </c>
      <c r="H501" s="30">
        <v>0</v>
      </c>
      <c r="I501" s="30">
        <v>0</v>
      </c>
      <c r="J501" s="30">
        <v>0</v>
      </c>
      <c r="K501" s="30">
        <v>0</v>
      </c>
      <c r="L501" s="30">
        <v>0</v>
      </c>
      <c r="M501" s="30">
        <v>0</v>
      </c>
      <c r="N501" s="30">
        <v>0</v>
      </c>
      <c r="O501" s="30">
        <v>0</v>
      </c>
      <c r="P501" s="30">
        <f>IF(SUM(D501:O501)=0,"0",AVERAGEIF(D501:O501,"&lt;&gt;0",D501:O501))</f>
      </c>
      <c r="Q501" s="29"/>
    </row>
    <row customHeight="true" ht="19" r="502">
      <c r="A502" s="15">
        <v>478</v>
      </c>
      <c r="B502" s="30" t="str">
        <v>宁夏</v>
      </c>
      <c r="C502" s="27" t="str">
        <v>（10）功率因数调整电费损益折合度电水平</v>
      </c>
      <c r="D502" s="30">
        <v>0</v>
      </c>
      <c r="E502" s="30">
        <v>0</v>
      </c>
      <c r="F502" s="30">
        <v>0</v>
      </c>
      <c r="G502" s="30">
        <v>0</v>
      </c>
      <c r="H502" s="30">
        <v>0</v>
      </c>
      <c r="I502" s="30">
        <v>0</v>
      </c>
      <c r="J502" s="30">
        <v>0</v>
      </c>
      <c r="K502" s="30">
        <v>0</v>
      </c>
      <c r="L502" s="30">
        <v>0</v>
      </c>
      <c r="M502" s="30">
        <v>0</v>
      </c>
      <c r="N502" s="30">
        <v>0</v>
      </c>
      <c r="O502" s="30">
        <v>0</v>
      </c>
      <c r="P502" s="30">
        <f>IF(SUM(D502:O502)=0,"0",AVERAGEIF(D502:O502,"&lt;&gt;0",D502:O502))</f>
      </c>
      <c r="Q502" s="29"/>
    </row>
    <row customHeight="true" ht="19" r="503">
      <c r="A503" s="15">
        <v>479</v>
      </c>
      <c r="B503" s="30" t="str">
        <v>宁夏</v>
      </c>
      <c r="C503" s="27" t="str">
        <v>（11）新能源可持续发展价格结算机制差价结算费用折合度电水平</v>
      </c>
      <c r="D503" s="30">
        <v>0</v>
      </c>
      <c r="E503" s="30">
        <v>0</v>
      </c>
      <c r="F503" s="30">
        <v>0</v>
      </c>
      <c r="G503" s="30">
        <v>0</v>
      </c>
      <c r="H503" s="30">
        <v>0</v>
      </c>
      <c r="I503" s="30">
        <v>0</v>
      </c>
      <c r="J503" s="30">
        <v>0</v>
      </c>
      <c r="K503" s="30">
        <v>0</v>
      </c>
      <c r="L503" s="30">
        <v>0</v>
      </c>
      <c r="M503" s="30">
        <v>0</v>
      </c>
      <c r="N503" s="30">
        <v>0.0079</v>
      </c>
      <c r="O503" s="30">
        <v>0.0063</v>
      </c>
      <c r="P503" s="30">
        <f>IF(SUM(D503:O503)=0,"0",AVERAGEIF(D503:O503,"&lt;&gt;0",D503:O503))</f>
      </c>
      <c r="Q503" s="29"/>
    </row>
    <row customHeight="true" ht="19" r="504">
      <c r="A504" s="15">
        <v>480</v>
      </c>
      <c r="B504" s="30" t="str">
        <v>宁夏</v>
      </c>
      <c r="C504" s="27" t="str">
        <v>（12）趸售电价损益折合度电水平</v>
      </c>
      <c r="D504" s="30">
        <v>0</v>
      </c>
      <c r="E504" s="30">
        <v>0</v>
      </c>
      <c r="F504" s="30">
        <v>0</v>
      </c>
      <c r="G504" s="30">
        <v>0</v>
      </c>
      <c r="H504" s="30">
        <v>0</v>
      </c>
      <c r="I504" s="30">
        <v>0</v>
      </c>
      <c r="J504" s="30">
        <v>0</v>
      </c>
      <c r="K504" s="30">
        <v>0</v>
      </c>
      <c r="L504" s="30">
        <v>0</v>
      </c>
      <c r="M504" s="30">
        <v>0</v>
      </c>
      <c r="N504" s="30">
        <v>0</v>
      </c>
      <c r="O504" s="30">
        <v>0</v>
      </c>
      <c r="P504" s="30">
        <f>IF(SUM(D504:O504)=0,"0",AVERAGEIF(D504:O504,"&lt;&gt;0",D504:O504))</f>
      </c>
      <c r="Q504" s="29"/>
    </row>
    <row customHeight="true" ht="19" r="505">
      <c r="A505" s="15">
        <v>480</v>
      </c>
      <c r="B505" s="30" t="str">
        <v>宁夏</v>
      </c>
      <c r="C505" s="27" t="str">
        <v>（13）代理购电价格新增损益折合度电水平</v>
      </c>
      <c r="D505" s="30">
        <v>0</v>
      </c>
      <c r="E505" s="30">
        <v>0</v>
      </c>
      <c r="F505" s="30">
        <v>0</v>
      </c>
      <c r="G505" s="30">
        <v>0</v>
      </c>
      <c r="H505" s="30">
        <v>0</v>
      </c>
      <c r="I505" s="30">
        <v>0</v>
      </c>
      <c r="J505" s="30">
        <v>0</v>
      </c>
      <c r="K505" s="30">
        <v>0</v>
      </c>
      <c r="L505" s="30">
        <v>0</v>
      </c>
      <c r="M505" s="30">
        <v>0</v>
      </c>
      <c r="N505" s="30">
        <v>0</v>
      </c>
      <c r="O505" s="30">
        <v>0</v>
      </c>
      <c r="P505" s="30">
        <f>IF(SUM(D505:O505)=0,"0",AVERAGEIF(D505:O505,"&lt;&gt;0",D505:O505))</f>
      </c>
      <c r="Q505" s="29"/>
    </row>
    <row customHeight="true" ht="19" r="506">
      <c r="A506" s="15">
        <v>481</v>
      </c>
      <c r="B506" s="30" t="str">
        <v>宁夏</v>
      </c>
      <c r="C506" s="27" t="str">
        <v>（14）跨省跨区应急调度价差损益折合度电水平</v>
      </c>
      <c r="D506" s="30">
        <v>0</v>
      </c>
      <c r="E506" s="30">
        <v>0</v>
      </c>
      <c r="F506" s="30">
        <v>0</v>
      </c>
      <c r="G506" s="30">
        <v>0</v>
      </c>
      <c r="H506" s="30">
        <v>0</v>
      </c>
      <c r="I506" s="30">
        <v>0</v>
      </c>
      <c r="J506" s="30">
        <v>0</v>
      </c>
      <c r="K506" s="30">
        <v>0</v>
      </c>
      <c r="L506" s="30">
        <v>0</v>
      </c>
      <c r="M506" s="30">
        <v>0</v>
      </c>
      <c r="N506" s="30">
        <v>0</v>
      </c>
      <c r="O506" s="30">
        <v>0</v>
      </c>
      <c r="P506" s="30">
        <f>IF(SUM(D506:O506)=0,"0",AVERAGEIF(D506:O506,"&lt;&gt;0",D506:O506))</f>
      </c>
      <c r="Q506" s="29"/>
    </row>
    <row customHeight="true" ht="19" r="507">
      <c r="A507" s="15">
        <v>482</v>
      </c>
      <c r="B507" s="30" t="str">
        <v>宁夏</v>
      </c>
      <c r="C507" s="27" t="str">
        <v>（15）剩余优先发电价差损益度电水平</v>
      </c>
      <c r="D507" s="30">
        <v>0</v>
      </c>
      <c r="E507" s="30">
        <v>0</v>
      </c>
      <c r="F507" s="30">
        <v>0</v>
      </c>
      <c r="G507" s="30">
        <v>0</v>
      </c>
      <c r="H507" s="30">
        <v>0</v>
      </c>
      <c r="I507" s="30">
        <v>0</v>
      </c>
      <c r="J507" s="30">
        <v>0</v>
      </c>
      <c r="K507" s="30">
        <v>0</v>
      </c>
      <c r="L507" s="30">
        <v>0</v>
      </c>
      <c r="M507" s="30">
        <v>0</v>
      </c>
      <c r="N507" s="30">
        <v>0</v>
      </c>
      <c r="O507" s="30">
        <v>0</v>
      </c>
      <c r="P507" s="30">
        <f>IF(SUM(D507:O507)=0,"0",AVERAGEIF(D507:O507,"&lt;&gt;0",D507:O507))</f>
      </c>
      <c r="Q507" s="29"/>
    </row>
    <row customHeight="true" ht="19" r="508">
      <c r="A508" s="15">
        <v>483</v>
      </c>
      <c r="B508" s="30" t="str">
        <v>宁夏</v>
      </c>
      <c r="C508" s="27" t="str">
        <v>（16）其他费用折合度电水平</v>
      </c>
      <c r="D508" s="30">
        <v>0</v>
      </c>
      <c r="E508" s="30">
        <v>0</v>
      </c>
      <c r="F508" s="30">
        <v>0</v>
      </c>
      <c r="G508" s="30">
        <v>-0.011</v>
      </c>
      <c r="H508" s="30">
        <v>-0.011</v>
      </c>
      <c r="I508" s="30">
        <v>-0.011</v>
      </c>
      <c r="J508" s="30">
        <v>-0.011</v>
      </c>
      <c r="K508" s="30">
        <v>-0.011</v>
      </c>
      <c r="L508" s="30">
        <v>-0.0078</v>
      </c>
      <c r="M508" s="30">
        <v>0.0051</v>
      </c>
      <c r="N508" s="30">
        <v>0.0006</v>
      </c>
      <c r="O508" s="30">
        <v>0</v>
      </c>
      <c r="P508" s="30">
        <f>IF(SUM(D508:O508)=0,"0",AVERAGEIF(D508:O508,"&lt;&gt;0",D508:O508))</f>
      </c>
      <c r="Q508" s="29"/>
    </row>
    <row r="509">
      <c r="A509" s="15">
        <v>484</v>
      </c>
      <c r="B509" s="15" t="str">
        <v>新疆</v>
      </c>
      <c r="C509" s="16" t="str">
        <v>代理工商业购电价格</v>
      </c>
      <c r="D509" s="15">
        <f>D510+D511</f>
      </c>
      <c r="E509" s="15">
        <f>E510+E511</f>
      </c>
      <c r="F509" s="15">
        <f>F510+F511</f>
      </c>
      <c r="G509" s="15">
        <f>G510+G511</f>
      </c>
      <c r="H509" s="15">
        <f>H510+H511</f>
      </c>
      <c r="I509" s="15">
        <f>I510+I511</f>
      </c>
      <c r="J509" s="15">
        <f>J510+J511</f>
      </c>
      <c r="K509" s="15">
        <f>K510+K511</f>
      </c>
      <c r="L509" s="15">
        <f>L510+L511</f>
      </c>
      <c r="M509" s="15">
        <f>M510+M511</f>
      </c>
      <c r="N509" s="15">
        <f>N510+N511</f>
      </c>
      <c r="O509" s="15">
        <f>O510+O511</f>
      </c>
      <c r="P509" s="15">
        <f>IF(SUM(D509:O509)=0,"0",AVERAGEIF(D509:O509,"&lt;&gt;0",D509:O509))</f>
      </c>
      <c r="Q509" s="14"/>
    </row>
    <row customHeight="true" ht="19" r="510">
      <c r="A510" s="15">
        <v>485</v>
      </c>
      <c r="B510" s="15" t="str">
        <v>新疆</v>
      </c>
      <c r="C510" s="16" t="str">
        <v>（1）当月平均购电价格</v>
      </c>
      <c r="D510" s="15">
        <v>0.25216</v>
      </c>
      <c r="E510" s="15">
        <v>0.243163</v>
      </c>
      <c r="F510" s="15">
        <v>0.238343</v>
      </c>
      <c r="G510" s="15">
        <v>0.229501</v>
      </c>
      <c r="H510" s="15">
        <v>0.229279</v>
      </c>
      <c r="I510" s="15">
        <v>0.23658</v>
      </c>
      <c r="J510" s="15">
        <v>0.23517</v>
      </c>
      <c r="K510" s="15">
        <v>0.23115</v>
      </c>
      <c r="L510" s="15">
        <v>0.242426</v>
      </c>
      <c r="M510" s="15">
        <v>0.241341</v>
      </c>
      <c r="N510" s="15">
        <v>0.248173</v>
      </c>
      <c r="O510" s="15">
        <v>0.245451</v>
      </c>
      <c r="P510" s="15">
        <f>IF(SUM(D510:O510)=0,"0",AVERAGEIF(D510:O510,"&lt;&gt;0",D510:O510))</f>
      </c>
      <c r="Q510" s="14"/>
    </row>
    <row customHeight="true" ht="19" r="511">
      <c r="A511" s="15">
        <v>486</v>
      </c>
      <c r="B511" s="15" t="str">
        <v>新疆</v>
      </c>
      <c r="C511" s="16" t="str">
        <v>（2）历史偏差电费折价</v>
      </c>
      <c r="D511" s="15">
        <v>0.007787</v>
      </c>
      <c r="E511" s="15">
        <v>-0.008795</v>
      </c>
      <c r="F511" s="15">
        <v>0.023532</v>
      </c>
      <c r="G511" s="15">
        <v>0.033552</v>
      </c>
      <c r="H511" s="15">
        <v>0.019313</v>
      </c>
      <c r="I511" s="15">
        <v>0.031585</v>
      </c>
      <c r="J511" s="15">
        <v>0.025203</v>
      </c>
      <c r="K511" s="15">
        <v>0.036502</v>
      </c>
      <c r="L511" s="15">
        <v>0.031823</v>
      </c>
      <c r="M511" s="15">
        <v>0.033225</v>
      </c>
      <c r="N511" s="15">
        <v>0.022877</v>
      </c>
      <c r="O511" s="15">
        <v>0.027795</v>
      </c>
      <c r="P511" s="15">
        <f>IF(SUM(D511:O511)=0,"0",AVERAGEIF(D511:O511,"&lt;&gt;0",D511:O511))</f>
      </c>
      <c r="Q511" s="14"/>
    </row>
    <row customHeight="true" ht="19" r="512">
      <c r="A512" s="15">
        <v>487</v>
      </c>
      <c r="B512" s="15" t="str">
        <v>新疆</v>
      </c>
      <c r="C512" s="16" t="str">
        <v>上网环节线损费用折价</v>
      </c>
      <c r="D512" s="15">
        <v>0.015875</v>
      </c>
      <c r="E512" s="15">
        <v>0.008534</v>
      </c>
      <c r="F512" s="15">
        <v>0.022557</v>
      </c>
      <c r="G512" s="15">
        <v>0.024145</v>
      </c>
      <c r="H512" s="15">
        <v>0.014962</v>
      </c>
      <c r="I512" s="15">
        <v>0.014982</v>
      </c>
      <c r="J512" s="15">
        <v>0.010107</v>
      </c>
      <c r="K512" s="15">
        <v>0.017032</v>
      </c>
      <c r="L512" s="15">
        <v>0.017966</v>
      </c>
      <c r="M512" s="15">
        <v>0.015718</v>
      </c>
      <c r="N512" s="15">
        <v>0.019729</v>
      </c>
      <c r="O512" s="15">
        <v>0.014631</v>
      </c>
      <c r="P512" s="15">
        <f>IF(SUM(D512:O512)=0,"0",AVERAGEIF(D512:O512,"&lt;&gt;0",D512:O512))</f>
      </c>
      <c r="Q512" s="14"/>
    </row>
    <row r="513">
      <c r="A513" s="15">
        <v>488</v>
      </c>
      <c r="B513" s="15" t="str">
        <v>新疆</v>
      </c>
      <c r="C513" s="16" t="str">
        <v>系统运行费用折合度电水平</v>
      </c>
      <c r="D513" s="15">
        <f>SUM(D514:D529)</f>
      </c>
      <c r="E513" s="15">
        <f>SUM(E514:E529)</f>
      </c>
      <c r="F513" s="15">
        <f>SUM(F514:F529)</f>
      </c>
      <c r="G513" s="15">
        <f>SUM(G514:G529)</f>
      </c>
      <c r="H513" s="15">
        <f>SUM(H514:H529)</f>
      </c>
      <c r="I513" s="15">
        <f>SUM(I514:I529)</f>
      </c>
      <c r="J513" s="15">
        <f>SUM(J514:J529)</f>
      </c>
      <c r="K513" s="15">
        <f>SUM(K514:K529)</f>
      </c>
      <c r="L513" s="15">
        <f>SUM(L514:L529)</f>
      </c>
      <c r="M513" s="15">
        <f>SUM(M514:M529)</f>
      </c>
      <c r="N513" s="15">
        <f>SUM(N514:N529)</f>
      </c>
      <c r="O513" s="15">
        <f>SUM(O514:O529)</f>
      </c>
      <c r="P513" s="15">
        <f>IF(SUM(D513:O513)=0,"0",AVERAGEIF(D513:O513,"&lt;&gt;0",D513:O513))</f>
      </c>
      <c r="Q513" s="14"/>
    </row>
    <row customHeight="true" ht="19" r="514">
      <c r="A514" s="15">
        <v>489</v>
      </c>
      <c r="B514" s="15" t="str">
        <v>新疆</v>
      </c>
      <c r="C514" s="16" t="str">
        <v>（1）辅助服务费用折合度电水平</v>
      </c>
      <c r="D514" s="15">
        <v>0</v>
      </c>
      <c r="E514" s="15">
        <v>0</v>
      </c>
      <c r="F514" s="15">
        <v>0</v>
      </c>
      <c r="G514" s="15">
        <v>0</v>
      </c>
      <c r="H514" s="15">
        <v>0</v>
      </c>
      <c r="I514" s="15">
        <v>0</v>
      </c>
      <c r="J514" s="15">
        <v>0</v>
      </c>
      <c r="K514" s="15">
        <v>0</v>
      </c>
      <c r="L514" s="15">
        <v>0</v>
      </c>
      <c r="M514" s="15">
        <v>0</v>
      </c>
      <c r="N514" s="15">
        <v>0</v>
      </c>
      <c r="O514" s="15">
        <v>0</v>
      </c>
      <c r="P514" s="15">
        <f>IF(SUM(D514:O514)=0,"0",AVERAGEIF(D514:O514,"&lt;&gt;0",D514:O514))</f>
      </c>
      <c r="Q514" s="14"/>
    </row>
    <row customHeight="true" ht="19" r="515">
      <c r="A515" s="15">
        <v>490</v>
      </c>
      <c r="B515" s="15" t="str">
        <v>新疆</v>
      </c>
      <c r="C515" s="16" t="str">
        <v>（2）抽水蓄能容量电费折合度电水平</v>
      </c>
      <c r="D515" s="15">
        <v>0.001626</v>
      </c>
      <c r="E515" s="15">
        <v>0.002221</v>
      </c>
      <c r="F515" s="15">
        <v>0.00202</v>
      </c>
      <c r="G515" s="15">
        <v>0.00162</v>
      </c>
      <c r="H515" s="15">
        <v>0.001838</v>
      </c>
      <c r="I515" s="15">
        <v>0.007265</v>
      </c>
      <c r="J515" s="15">
        <v>0.00636</v>
      </c>
      <c r="K515" s="15">
        <v>0.005294</v>
      </c>
      <c r="L515" s="15">
        <v>0.005687</v>
      </c>
      <c r="M515" s="15">
        <v>0.005865</v>
      </c>
      <c r="N515" s="15">
        <v>0.005204</v>
      </c>
      <c r="O515" s="15">
        <v>0.004164</v>
      </c>
      <c r="P515" s="15">
        <f>IF(SUM(D515:O515)=0,"0",AVERAGEIF(D515:O515,"&lt;&gt;0",D515:O515))</f>
      </c>
      <c r="Q515" s="14"/>
    </row>
    <row customHeight="true" ht="19" r="516">
      <c r="A516" s="15">
        <v>491</v>
      </c>
      <c r="B516" s="15" t="str">
        <v>新疆</v>
      </c>
      <c r="C516" s="16" t="str">
        <v>（3）上网环节线损代理采购损益折合度电水平</v>
      </c>
      <c r="D516" s="15">
        <v>0.005743</v>
      </c>
      <c r="E516" s="15">
        <v>0.022844</v>
      </c>
      <c r="F516" s="15">
        <v>0.018142</v>
      </c>
      <c r="G516" s="15">
        <v>0.012515</v>
      </c>
      <c r="H516" s="15">
        <v>-0.000471</v>
      </c>
      <c r="I516" s="15">
        <v>-0.001135</v>
      </c>
      <c r="J516" s="15">
        <v>-0.003701</v>
      </c>
      <c r="K516" s="15">
        <v>0.011936</v>
      </c>
      <c r="L516" s="15">
        <v>0.020652</v>
      </c>
      <c r="M516" s="15">
        <v>0.00826</v>
      </c>
      <c r="N516" s="15">
        <v>-0.005913</v>
      </c>
      <c r="O516" s="15">
        <v>-0.005545</v>
      </c>
      <c r="P516" s="15">
        <f>IF(SUM(D516:O516)=0,"0",AVERAGEIF(D516:O516,"&lt;&gt;0",D516:O516))</f>
      </c>
      <c r="Q516" s="14"/>
    </row>
    <row customHeight="true" ht="19" r="517">
      <c r="A517" s="15">
        <v>492</v>
      </c>
      <c r="B517" s="15" t="str">
        <v>新疆</v>
      </c>
      <c r="C517" s="16" t="str">
        <v>（4）电价交叉补贴新增损益折合度电水平</v>
      </c>
      <c r="D517" s="15">
        <v>0.012924</v>
      </c>
      <c r="E517" s="15">
        <v>0.017813</v>
      </c>
      <c r="F517" s="15">
        <v>0.017894</v>
      </c>
      <c r="G517" s="15">
        <v>0.018329</v>
      </c>
      <c r="H517" s="15">
        <v>0.020859</v>
      </c>
      <c r="I517" s="15">
        <v>0.025361</v>
      </c>
      <c r="J517" s="15">
        <v>0.020186</v>
      </c>
      <c r="K517" s="15">
        <v>0.018551</v>
      </c>
      <c r="L517" s="15">
        <v>0.015367</v>
      </c>
      <c r="M517" s="15">
        <v>0.02074</v>
      </c>
      <c r="N517" s="15">
        <v>0.016978</v>
      </c>
      <c r="O517" s="15">
        <v>0.013763</v>
      </c>
      <c r="P517" s="15">
        <f>IF(SUM(D517:O517)=0,"0",AVERAGEIF(D517:O517,"&lt;&gt;0",D517:O517))</f>
      </c>
      <c r="Q517" s="14"/>
    </row>
    <row customHeight="true" ht="19" r="518">
      <c r="A518" s="15">
        <v>493</v>
      </c>
      <c r="B518" s="15" t="str">
        <v>新疆</v>
      </c>
      <c r="C518" s="16" t="str">
        <v>（5）煤电容量电费折合度电水平</v>
      </c>
      <c r="D518" s="15">
        <v>0</v>
      </c>
      <c r="E518" s="15">
        <v>0</v>
      </c>
      <c r="F518" s="15">
        <v>0</v>
      </c>
      <c r="G518" s="15">
        <v>0</v>
      </c>
      <c r="H518" s="15">
        <v>0</v>
      </c>
      <c r="I518" s="15">
        <v>0</v>
      </c>
      <c r="J518" s="15">
        <v>0</v>
      </c>
      <c r="K518" s="15">
        <v>0</v>
      </c>
      <c r="L518" s="15">
        <v>0</v>
      </c>
      <c r="M518" s="15">
        <v>0</v>
      </c>
      <c r="N518" s="15">
        <v>0</v>
      </c>
      <c r="O518" s="15">
        <v>0</v>
      </c>
      <c r="P518" s="15">
        <f>IF(SUM(D518:O518)=0,"0",AVERAGEIF(D518:O518,"&lt;&gt;0",D518:O518))</f>
      </c>
      <c r="Q518" s="14"/>
    </row>
    <row customHeight="true" ht="19" r="519">
      <c r="A519" s="15">
        <v>494</v>
      </c>
      <c r="B519" s="15" t="str">
        <v>新疆</v>
      </c>
      <c r="C519" s="16" t="str">
        <v>（6）天然气发电容量电费折合度电水平</v>
      </c>
      <c r="D519" s="15">
        <v>0</v>
      </c>
      <c r="E519" s="15">
        <v>0</v>
      </c>
      <c r="F519" s="15">
        <v>0</v>
      </c>
      <c r="G519" s="15">
        <v>0</v>
      </c>
      <c r="H519" s="15">
        <v>0</v>
      </c>
      <c r="I519" s="15">
        <v>0</v>
      </c>
      <c r="J519" s="15">
        <v>0</v>
      </c>
      <c r="K519" s="15">
        <v>0</v>
      </c>
      <c r="L519" s="15">
        <v>0</v>
      </c>
      <c r="M519" s="15">
        <v>0</v>
      </c>
      <c r="N519" s="15">
        <v>0</v>
      </c>
      <c r="O519" s="15">
        <v>0</v>
      </c>
      <c r="P519" s="15">
        <f>IF(SUM(D519:O519)=0,"0",AVERAGEIF(D519:O519,"&lt;&gt;0",D519:O519))</f>
      </c>
      <c r="Q519" s="14"/>
    </row>
    <row customHeight="true" ht="19" r="520">
      <c r="A520" s="15">
        <v>495</v>
      </c>
      <c r="B520" s="15" t="str">
        <v>新疆</v>
      </c>
      <c r="C520" s="16" t="str">
        <v>（7）水电合约价差损益折合度电水平</v>
      </c>
      <c r="D520" s="15">
        <v>0</v>
      </c>
      <c r="E520" s="15">
        <v>0</v>
      </c>
      <c r="F520" s="15">
        <v>0</v>
      </c>
      <c r="G520" s="15">
        <v>0</v>
      </c>
      <c r="H520" s="15">
        <v>0</v>
      </c>
      <c r="I520" s="15">
        <v>0</v>
      </c>
      <c r="J520" s="15">
        <v>0</v>
      </c>
      <c r="K520" s="15">
        <v>0</v>
      </c>
      <c r="L520" s="15">
        <v>0</v>
      </c>
      <c r="M520" s="15">
        <v>0</v>
      </c>
      <c r="N520" s="15">
        <v>0</v>
      </c>
      <c r="O520" s="15">
        <v>0</v>
      </c>
      <c r="P520" s="15">
        <f>IF(SUM(D520:O520)=0,"0",AVERAGEIF(D520:O520,"&lt;&gt;0",D520:O520))</f>
      </c>
      <c r="Q520" s="14"/>
    </row>
    <row customHeight="true" ht="19" r="521">
      <c r="A521" s="15">
        <v>496</v>
      </c>
      <c r="B521" s="15" t="str">
        <v>新疆</v>
      </c>
      <c r="C521" s="16" t="str">
        <v>（8）独立储能容量电费折合度电水平</v>
      </c>
      <c r="D521" s="15">
        <v>0.000159</v>
      </c>
      <c r="E521" s="15">
        <v>0.000807</v>
      </c>
      <c r="F521" s="15">
        <v>0.001253</v>
      </c>
      <c r="G521" s="15">
        <v>0.001019</v>
      </c>
      <c r="H521" s="15">
        <v>0.001241</v>
      </c>
      <c r="I521" s="15">
        <v>0.00104</v>
      </c>
      <c r="J521" s="15">
        <v>0.000909</v>
      </c>
      <c r="K521" s="15">
        <v>0.001389</v>
      </c>
      <c r="L521" s="15">
        <v>0.00193</v>
      </c>
      <c r="M521" s="15">
        <v>0.002273</v>
      </c>
      <c r="N521" s="15">
        <v>0.0009</v>
      </c>
      <c r="O521" s="15">
        <v>0.002708</v>
      </c>
      <c r="P521" s="15">
        <f>IF(SUM(D521:O521)=0,"0",AVERAGEIF(D521:O521,"&lt;&gt;0",D521:O521))</f>
      </c>
      <c r="Q521" s="14"/>
    </row>
    <row customHeight="true" ht="19" r="522">
      <c r="A522" s="15">
        <v>497</v>
      </c>
      <c r="B522" s="15" t="str">
        <v>新疆</v>
      </c>
      <c r="C522" s="16" t="str">
        <v>（9）工商业峰谷分时损益折合度电水平</v>
      </c>
      <c r="D522" s="15">
        <v>0</v>
      </c>
      <c r="E522" s="15">
        <v>0</v>
      </c>
      <c r="F522" s="15">
        <v>0</v>
      </c>
      <c r="G522" s="15">
        <v>0</v>
      </c>
      <c r="H522" s="15">
        <v>0</v>
      </c>
      <c r="I522" s="15">
        <v>0</v>
      </c>
      <c r="J522" s="15">
        <v>0</v>
      </c>
      <c r="K522" s="15">
        <v>0</v>
      </c>
      <c r="L522" s="15">
        <v>0</v>
      </c>
      <c r="M522" s="15">
        <v>0</v>
      </c>
      <c r="N522" s="15">
        <v>0</v>
      </c>
      <c r="O522" s="15">
        <v>0</v>
      </c>
      <c r="P522" s="15">
        <f>IF(SUM(D522:O522)=0,"0",AVERAGEIF(D522:O522,"&lt;&gt;0",D522:O522))</f>
      </c>
      <c r="Q522" s="14"/>
    </row>
    <row customHeight="true" ht="19" r="523">
      <c r="A523" s="15">
        <v>498</v>
      </c>
      <c r="B523" s="15" t="str">
        <v>新疆</v>
      </c>
      <c r="C523" s="16" t="str">
        <v>（10）功率因数调整电费损益折合度电水平</v>
      </c>
      <c r="D523" s="15">
        <v>0</v>
      </c>
      <c r="E523" s="15">
        <v>0</v>
      </c>
      <c r="F523" s="15">
        <v>0</v>
      </c>
      <c r="G523" s="15">
        <v>0</v>
      </c>
      <c r="H523" s="15">
        <v>0</v>
      </c>
      <c r="I523" s="15">
        <v>0</v>
      </c>
      <c r="J523" s="15">
        <v>0</v>
      </c>
      <c r="K523" s="15">
        <v>0</v>
      </c>
      <c r="L523" s="15">
        <v>0</v>
      </c>
      <c r="M523" s="15">
        <v>0</v>
      </c>
      <c r="N523" s="15">
        <v>0</v>
      </c>
      <c r="O523" s="15">
        <v>0</v>
      </c>
      <c r="P523" s="15">
        <f>IF(SUM(D523:O523)=0,"0",AVERAGEIF(D523:O523,"&lt;&gt;0",D523:O523))</f>
      </c>
      <c r="Q523" s="14"/>
    </row>
    <row customHeight="true" ht="19" r="524">
      <c r="A524" s="15">
        <v>499</v>
      </c>
      <c r="B524" s="15" t="str">
        <v>新疆</v>
      </c>
      <c r="C524" s="16" t="str">
        <v>（11）新能源可持续发展价格结算机制差价结算费用折合度电水平</v>
      </c>
      <c r="D524" s="15">
        <v>0</v>
      </c>
      <c r="E524" s="15">
        <v>0</v>
      </c>
      <c r="F524" s="15">
        <v>0</v>
      </c>
      <c r="G524" s="15">
        <v>0</v>
      </c>
      <c r="H524" s="15">
        <v>0</v>
      </c>
      <c r="I524" s="15">
        <v>0</v>
      </c>
      <c r="J524" s="15">
        <v>0</v>
      </c>
      <c r="K524" s="15">
        <v>0</v>
      </c>
      <c r="L524" s="15">
        <v>0</v>
      </c>
      <c r="M524" s="15">
        <v>0</v>
      </c>
      <c r="N524" s="15">
        <v>0</v>
      </c>
      <c r="O524" s="15">
        <v>0</v>
      </c>
      <c r="P524" s="15">
        <f>IF(SUM(D524:O524)=0,"0",AVERAGEIF(D524:O524,"&lt;&gt;0",D524:O524))</f>
      </c>
      <c r="Q524" s="14"/>
    </row>
    <row customHeight="true" ht="19" r="525">
      <c r="A525" s="15">
        <v>500</v>
      </c>
      <c r="B525" s="15" t="str">
        <v>新疆</v>
      </c>
      <c r="C525" s="16" t="str">
        <v>（12）趸售电价损益折合度电水平</v>
      </c>
      <c r="D525" s="15">
        <v>0</v>
      </c>
      <c r="E525" s="15">
        <v>0</v>
      </c>
      <c r="F525" s="15">
        <v>0</v>
      </c>
      <c r="G525" s="15">
        <v>0</v>
      </c>
      <c r="H525" s="15">
        <v>0</v>
      </c>
      <c r="I525" s="15">
        <v>0</v>
      </c>
      <c r="J525" s="15">
        <v>0</v>
      </c>
      <c r="K525" s="15">
        <v>0</v>
      </c>
      <c r="L525" s="15">
        <v>0</v>
      </c>
      <c r="M525" s="15">
        <v>0</v>
      </c>
      <c r="N525" s="15">
        <v>0</v>
      </c>
      <c r="O525" s="15">
        <v>0</v>
      </c>
      <c r="P525" s="15">
        <f>IF(SUM(D525:O525)=0,"0",AVERAGEIF(D525:O525,"&lt;&gt;0",D525:O525))</f>
      </c>
      <c r="Q525" s="14"/>
    </row>
    <row customHeight="true" ht="19" r="526">
      <c r="A526" s="15">
        <v>501</v>
      </c>
      <c r="B526" s="15" t="str">
        <v>新疆</v>
      </c>
      <c r="C526" s="39" t="str">
        <v>（13）代理购电价格新增损益折合度电水平</v>
      </c>
      <c r="D526" s="15">
        <v>0</v>
      </c>
      <c r="E526" s="15">
        <v>0</v>
      </c>
      <c r="F526" s="15">
        <v>0</v>
      </c>
      <c r="G526" s="15">
        <v>0</v>
      </c>
      <c r="H526" s="15">
        <v>0</v>
      </c>
      <c r="I526" s="15">
        <v>0</v>
      </c>
      <c r="J526" s="15">
        <v>0</v>
      </c>
      <c r="K526" s="15">
        <v>0</v>
      </c>
      <c r="L526" s="15">
        <v>0</v>
      </c>
      <c r="M526" s="15">
        <v>0</v>
      </c>
      <c r="N526" s="15">
        <v>0</v>
      </c>
      <c r="O526" s="15">
        <v>0</v>
      </c>
      <c r="P526" s="15">
        <f>IF(SUM(D526:O526)=0,"0",AVERAGEIF(D526:O526,"&lt;&gt;0",D526:O526))</f>
      </c>
      <c r="Q526" s="14"/>
    </row>
    <row customHeight="true" ht="19" r="527">
      <c r="A527" s="15">
        <v>501</v>
      </c>
      <c r="B527" s="15" t="str">
        <v>新疆</v>
      </c>
      <c r="C527" s="39" t="str">
        <v>（14）跨省跨区应急调度价差损益折合度电水平</v>
      </c>
      <c r="D527" s="15">
        <v>0</v>
      </c>
      <c r="E527" s="15">
        <v>0</v>
      </c>
      <c r="F527" s="15">
        <v>0</v>
      </c>
      <c r="G527" s="15">
        <v>0</v>
      </c>
      <c r="H527" s="15">
        <v>0</v>
      </c>
      <c r="I527" s="15">
        <v>0</v>
      </c>
      <c r="J527" s="15">
        <v>0</v>
      </c>
      <c r="K527" s="15">
        <v>0</v>
      </c>
      <c r="L527" s="15">
        <v>0</v>
      </c>
      <c r="M527" s="15">
        <v>0</v>
      </c>
      <c r="N527" s="15">
        <v>0</v>
      </c>
      <c r="O527" s="15">
        <v>-0.001937</v>
      </c>
      <c r="P527" s="15">
        <f>IF(SUM(D527:O527)=0,"0",AVERAGEIF(D527:O527,"&lt;&gt;0",D527:O527))</f>
      </c>
      <c r="Q527" s="14"/>
    </row>
    <row customHeight="true" ht="19" r="528">
      <c r="A528" s="15">
        <v>502</v>
      </c>
      <c r="B528" s="15" t="str">
        <v>新疆</v>
      </c>
      <c r="C528" s="39" t="str">
        <v>（15）剩余优先发电价差损益度电水平</v>
      </c>
      <c r="D528" s="15">
        <v>0</v>
      </c>
      <c r="E528" s="15">
        <v>0</v>
      </c>
      <c r="F528" s="15">
        <v>0</v>
      </c>
      <c r="G528" s="15">
        <v>0</v>
      </c>
      <c r="H528" s="15">
        <v>0</v>
      </c>
      <c r="I528" s="15">
        <v>0</v>
      </c>
      <c r="J528" s="15">
        <v>0</v>
      </c>
      <c r="K528" s="15">
        <v>0</v>
      </c>
      <c r="L528" s="15">
        <v>0</v>
      </c>
      <c r="M528" s="15">
        <v>0</v>
      </c>
      <c r="N528" s="15">
        <v>0</v>
      </c>
      <c r="O528" s="15">
        <v>0</v>
      </c>
      <c r="P528" s="15">
        <f>IF(SUM(D528:O528)=0,"0",AVERAGEIF(D528:O528,"&lt;&gt;0",D528:O528))</f>
      </c>
      <c r="Q528" s="14"/>
    </row>
    <row customHeight="true" ht="19" r="529">
      <c r="A529" s="15">
        <v>503</v>
      </c>
      <c r="B529" s="15" t="str">
        <v>新疆</v>
      </c>
      <c r="C529" s="39" t="str">
        <v>（16）其他费用折合度电水平</v>
      </c>
      <c r="D529" s="15">
        <v>0</v>
      </c>
      <c r="E529" s="15">
        <v>0</v>
      </c>
      <c r="F529" s="15">
        <v>0</v>
      </c>
      <c r="G529" s="15">
        <v>0</v>
      </c>
      <c r="H529" s="15">
        <v>0</v>
      </c>
      <c r="I529" s="15">
        <v>0</v>
      </c>
      <c r="J529" s="15">
        <v>0</v>
      </c>
      <c r="K529" s="15">
        <v>0</v>
      </c>
      <c r="L529" s="15">
        <v>0</v>
      </c>
      <c r="M529" s="15">
        <v>0</v>
      </c>
      <c r="N529" s="15">
        <v>0</v>
      </c>
      <c r="O529" s="15">
        <v>0</v>
      </c>
      <c r="P529" s="15">
        <f>IF(SUM(D529:O529)=0,"0",AVERAGEIF(D529:O529,"&lt;&gt;0",D529:O529))</f>
      </c>
      <c r="Q529" s="14"/>
    </row>
    <row r="530">
      <c r="A530" s="15">
        <v>504</v>
      </c>
      <c r="B530" s="30" t="str">
        <v>重庆</v>
      </c>
      <c r="C530" s="27" t="str">
        <v>代理工商业购电价格</v>
      </c>
      <c r="D530" s="30">
        <f>D531+D532</f>
      </c>
      <c r="E530" s="30">
        <f>E531+E532</f>
      </c>
      <c r="F530" s="30">
        <f>F531+F532</f>
      </c>
      <c r="G530" s="30">
        <f>G531+G532</f>
      </c>
      <c r="H530" s="30">
        <f>H531+H532</f>
      </c>
      <c r="I530" s="30">
        <f>I531+I532</f>
      </c>
      <c r="J530" s="30">
        <f>J531+J532</f>
      </c>
      <c r="K530" s="30">
        <f>K531+K532</f>
      </c>
      <c r="L530" s="30">
        <f>L531+L532</f>
      </c>
      <c r="M530" s="30">
        <f>M531+M532</f>
      </c>
      <c r="N530" s="30">
        <f>N531+N532</f>
      </c>
      <c r="O530" s="30">
        <f>O531+O532</f>
      </c>
      <c r="P530" s="30">
        <f>IF(SUM(D530:O530)=0,"0",AVERAGEIF(D530:O530,"&lt;&gt;0",D530:O530))</f>
      </c>
      <c r="Q530" s="29"/>
    </row>
    <row customHeight="true" ht="19" r="531">
      <c r="A531" s="15">
        <v>505</v>
      </c>
      <c r="B531" s="30" t="str">
        <v>重庆</v>
      </c>
      <c r="C531" s="27" t="str">
        <v>（1）当月平均购电价格</v>
      </c>
      <c r="D531" s="30">
        <v>0.464559</v>
      </c>
      <c r="E531" s="30">
        <v>0.483953</v>
      </c>
      <c r="F531" s="30">
        <v>0.464653</v>
      </c>
      <c r="G531" s="30">
        <v>0.454776</v>
      </c>
      <c r="H531" s="30">
        <v>0.456643</v>
      </c>
      <c r="I531" s="30">
        <v>0.445884</v>
      </c>
      <c r="J531" s="30">
        <v>0.482707</v>
      </c>
      <c r="K531" s="30">
        <v>0.503305</v>
      </c>
      <c r="L531" s="30">
        <v>0.47692</v>
      </c>
      <c r="M531" s="30">
        <v>0.467477</v>
      </c>
      <c r="N531" s="30">
        <v>0.473451</v>
      </c>
      <c r="O531" s="30">
        <v>0.446545</v>
      </c>
      <c r="P531" s="30">
        <f>IF(SUM(D531:O531)=0,"0",AVERAGEIF(D531:O531,"&lt;&gt;0",D531:O531))</f>
      </c>
      <c r="Q531" s="29"/>
    </row>
    <row customHeight="true" ht="19" r="532">
      <c r="A532" s="15">
        <v>506</v>
      </c>
      <c r="B532" s="30" t="str">
        <v>重庆</v>
      </c>
      <c r="C532" s="27" t="str">
        <v>（2）历史偏差电费折价</v>
      </c>
      <c r="D532" s="30">
        <v>0.003564</v>
      </c>
      <c r="E532" s="30">
        <v>-0.018919</v>
      </c>
      <c r="F532" s="30">
        <v>-0.006171</v>
      </c>
      <c r="G532" s="30">
        <v>-0.023038</v>
      </c>
      <c r="H532" s="30">
        <v>-0.008155</v>
      </c>
      <c r="I532" s="30">
        <v>0.0096</v>
      </c>
      <c r="J532" s="30">
        <v>0.005164</v>
      </c>
      <c r="K532" s="30">
        <v>-0.005227</v>
      </c>
      <c r="L532" s="30">
        <v>-0.029298</v>
      </c>
      <c r="M532" s="30">
        <v>-0.064228</v>
      </c>
      <c r="N532" s="30">
        <v>-0.036125</v>
      </c>
      <c r="O532" s="30">
        <v>-0.020901</v>
      </c>
      <c r="P532" s="30">
        <f>IF(SUM(D532:O532)=0,"0",AVERAGEIF(D532:O532,"&lt;&gt;0",D532:O532))</f>
      </c>
      <c r="Q532" s="29"/>
    </row>
    <row customHeight="true" ht="19" r="533">
      <c r="A533" s="15">
        <v>507</v>
      </c>
      <c r="B533" s="30" t="str">
        <v>重庆</v>
      </c>
      <c r="C533" s="27" t="str">
        <v>上网环节线损费用折价</v>
      </c>
      <c r="D533" s="30">
        <v>0.02062</v>
      </c>
      <c r="E533" s="30">
        <v>0.021481</v>
      </c>
      <c r="F533" s="30">
        <v>0.020624</v>
      </c>
      <c r="G533" s="30">
        <v>0.020186</v>
      </c>
      <c r="H533" s="30">
        <v>0.020269</v>
      </c>
      <c r="I533" s="30">
        <v>0.019791</v>
      </c>
      <c r="J533" s="30">
        <v>0.021426</v>
      </c>
      <c r="K533" s="30">
        <v>0.02234</v>
      </c>
      <c r="L533" s="30">
        <v>0.021169</v>
      </c>
      <c r="M533" s="30">
        <v>0.02075</v>
      </c>
      <c r="N533" s="30">
        <v>0.021015</v>
      </c>
      <c r="O533" s="30">
        <v>0.019821</v>
      </c>
      <c r="P533" s="30">
        <f>IF(SUM(D533:O533)=0,"0",AVERAGEIF(D533:O533,"&lt;&gt;0",D533:O533))</f>
      </c>
      <c r="Q533" s="29"/>
    </row>
    <row r="534">
      <c r="A534" s="15">
        <v>508</v>
      </c>
      <c r="B534" s="30" t="str">
        <v>重庆</v>
      </c>
      <c r="C534" s="27" t="str">
        <v>系统运行费用折合度电水平</v>
      </c>
      <c r="D534" s="30">
        <f>SUM(D535:D550)</f>
      </c>
      <c r="E534" s="30">
        <f>SUM(E535:E550)</f>
      </c>
      <c r="F534" s="30">
        <f>SUM(F535:F550)</f>
      </c>
      <c r="G534" s="30">
        <f>SUM(G535:G550)</f>
      </c>
      <c r="H534" s="30">
        <f>SUM(H535:H550)</f>
      </c>
      <c r="I534" s="30">
        <f>SUM(I535:I550)</f>
      </c>
      <c r="J534" s="30">
        <f>SUM(J535:J550)</f>
      </c>
      <c r="K534" s="30">
        <f>SUM(K535:K550)</f>
      </c>
      <c r="L534" s="30">
        <f>SUM(L535:L550)</f>
      </c>
      <c r="M534" s="30">
        <f>SUM(M535:M550)</f>
      </c>
      <c r="N534" s="30">
        <f>SUM(N535:N550)</f>
      </c>
      <c r="O534" s="30">
        <f>SUM(O535:O550)</f>
      </c>
      <c r="P534" s="30">
        <f>IF(SUM(D534:O534)=0,"0",AVERAGEIF(D534:O534,"&lt;&gt;0",D534:O534))</f>
      </c>
      <c r="Q534" s="29"/>
    </row>
    <row customHeight="true" ht="19" r="535">
      <c r="A535" s="15">
        <v>509</v>
      </c>
      <c r="B535" s="30" t="str">
        <v>重庆</v>
      </c>
      <c r="C535" s="27" t="str">
        <v>（1）辅助服务费用折合度电水平</v>
      </c>
      <c r="D535" s="30">
        <v>0</v>
      </c>
      <c r="E535" s="30">
        <v>0</v>
      </c>
      <c r="F535" s="30">
        <v>0</v>
      </c>
      <c r="G535" s="30">
        <v>0</v>
      </c>
      <c r="H535" s="30">
        <v>0</v>
      </c>
      <c r="I535" s="30">
        <v>0</v>
      </c>
      <c r="J535" s="30">
        <v>0</v>
      </c>
      <c r="K535" s="30">
        <v>0</v>
      </c>
      <c r="L535" s="30">
        <v>0</v>
      </c>
      <c r="M535" s="30">
        <v>0</v>
      </c>
      <c r="N535" s="30">
        <v>0</v>
      </c>
      <c r="O535" s="30">
        <v>0</v>
      </c>
      <c r="P535" s="30">
        <f>IF(SUM(D535:O535)=0,"0",AVERAGEIF(D535:O535,"&lt;&gt;0",D535:O535))</f>
      </c>
      <c r="Q535" s="29"/>
    </row>
    <row customHeight="true" ht="19" r="536">
      <c r="A536" s="15">
        <v>510</v>
      </c>
      <c r="B536" s="30" t="str">
        <v>重庆</v>
      </c>
      <c r="C536" s="27" t="str">
        <v>（2）抽水蓄能容量电费折合度电水平</v>
      </c>
      <c r="D536" s="30">
        <v>0.009113</v>
      </c>
      <c r="E536" s="30">
        <v>0.010302</v>
      </c>
      <c r="F536" s="30">
        <v>0.009183</v>
      </c>
      <c r="G536" s="30">
        <v>0.009548</v>
      </c>
      <c r="H536" s="30">
        <v>0.008777</v>
      </c>
      <c r="I536" s="30">
        <v>0.008238</v>
      </c>
      <c r="J536" s="30">
        <v>0.007291</v>
      </c>
      <c r="K536" s="30">
        <v>0.006621</v>
      </c>
      <c r="L536" s="30">
        <v>0.007204</v>
      </c>
      <c r="M536" s="30">
        <v>0.008894</v>
      </c>
      <c r="N536" s="30">
        <v>0.008832</v>
      </c>
      <c r="O536" s="30">
        <v>0.007999</v>
      </c>
      <c r="P536" s="30">
        <f>IF(SUM(D536:O536)=0,"0",AVERAGEIF(D536:O536,"&lt;&gt;0",D536:O536))</f>
      </c>
      <c r="Q536" s="29"/>
    </row>
    <row customHeight="true" ht="19" r="537">
      <c r="A537" s="15">
        <v>511</v>
      </c>
      <c r="B537" s="30" t="str">
        <v>重庆</v>
      </c>
      <c r="C537" s="27" t="str">
        <v>（3）上网环节线损代理采购损益折合度电水平</v>
      </c>
      <c r="D537" s="30">
        <v>0.000331</v>
      </c>
      <c r="E537" s="30">
        <v>-0.002635</v>
      </c>
      <c r="F537" s="30">
        <v>0.002314</v>
      </c>
      <c r="G537" s="30">
        <v>0.000983</v>
      </c>
      <c r="H537" s="30">
        <v>0.001846</v>
      </c>
      <c r="I537" s="30">
        <v>0.009407</v>
      </c>
      <c r="J537" s="30">
        <v>0.002278</v>
      </c>
      <c r="K537" s="30">
        <v>0.00246</v>
      </c>
      <c r="L537" s="30">
        <v>0.000683</v>
      </c>
      <c r="M537" s="30">
        <v>0.000432</v>
      </c>
      <c r="N537" s="30">
        <v>0.000783</v>
      </c>
      <c r="O537" s="30">
        <v>-0.000014</v>
      </c>
      <c r="P537" s="30">
        <f>IF(SUM(D537:O537)=0,"0",AVERAGEIF(D537:O537,"&lt;&gt;0",D537:O537))</f>
      </c>
      <c r="Q537" s="29"/>
    </row>
    <row customHeight="true" ht="19" r="538">
      <c r="A538" s="15">
        <v>512</v>
      </c>
      <c r="B538" s="30" t="str">
        <v>重庆</v>
      </c>
      <c r="C538" s="27" t="str">
        <v>（4）电价交叉补贴新增损益折合度电水平</v>
      </c>
      <c r="D538" s="30">
        <v>0.009573</v>
      </c>
      <c r="E538" s="30">
        <v>0.018208</v>
      </c>
      <c r="F538" s="30">
        <v>0.018453</v>
      </c>
      <c r="G538" s="30">
        <v>-0.02139</v>
      </c>
      <c r="H538" s="30">
        <v>-0.022057</v>
      </c>
      <c r="I538" s="30">
        <v>-0.016957</v>
      </c>
      <c r="J538" s="30">
        <v>0.013048</v>
      </c>
      <c r="K538" s="30">
        <v>0.018534</v>
      </c>
      <c r="L538" s="30">
        <v>-0.020942</v>
      </c>
      <c r="M538" s="30">
        <v>-0.032335</v>
      </c>
      <c r="N538" s="30">
        <v>-0.054586</v>
      </c>
      <c r="O538" s="30">
        <v>-0.03877</v>
      </c>
      <c r="P538" s="30">
        <f>IF(SUM(D538:O538)=0,"0",AVERAGEIF(D538:O538,"&lt;&gt;0",D538:O538))</f>
      </c>
      <c r="Q538" s="29"/>
    </row>
    <row customHeight="true" ht="19" r="539">
      <c r="A539" s="15">
        <v>513</v>
      </c>
      <c r="B539" s="30" t="str">
        <v>重庆</v>
      </c>
      <c r="C539" s="27" t="str">
        <v>（5）煤电容量电费折合度电水平</v>
      </c>
      <c r="D539" s="30">
        <v>0.029109</v>
      </c>
      <c r="E539" s="30">
        <v>0.032735</v>
      </c>
      <c r="F539" s="30">
        <v>0.029418</v>
      </c>
      <c r="G539" s="30">
        <v>0.030232</v>
      </c>
      <c r="H539" s="30">
        <v>0.028093</v>
      </c>
      <c r="I539" s="30">
        <v>0.026324</v>
      </c>
      <c r="J539" s="30">
        <v>0.023314</v>
      </c>
      <c r="K539" s="30">
        <v>0.021134</v>
      </c>
      <c r="L539" s="30">
        <v>0.023046</v>
      </c>
      <c r="M539" s="30">
        <v>0.02834</v>
      </c>
      <c r="N539" s="30">
        <v>0.028256</v>
      </c>
      <c r="O539" s="30">
        <v>0.025605</v>
      </c>
      <c r="P539" s="30">
        <f>IF(SUM(D539:O539)=0,"0",AVERAGEIF(D539:O539,"&lt;&gt;0",D539:O539))</f>
      </c>
      <c r="Q539" s="29"/>
    </row>
    <row customHeight="true" ht="19" r="540">
      <c r="A540" s="15">
        <v>514</v>
      </c>
      <c r="B540" s="30" t="str">
        <v>重庆</v>
      </c>
      <c r="C540" s="27" t="str">
        <v>（6）天然气发电容量电费折合度电水平</v>
      </c>
      <c r="D540" s="30">
        <v>0</v>
      </c>
      <c r="E540" s="30">
        <v>0</v>
      </c>
      <c r="F540" s="30">
        <v>0</v>
      </c>
      <c r="G540" s="30">
        <v>0</v>
      </c>
      <c r="H540" s="30">
        <v>0</v>
      </c>
      <c r="I540" s="30">
        <v>0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f>IF(SUM(D540:O540)=0,"0",AVERAGEIF(D540:O540,"&lt;&gt;0",D540:O540))</f>
      </c>
      <c r="Q540" s="29"/>
    </row>
    <row customHeight="true" ht="19" r="541">
      <c r="A541" s="15">
        <v>515</v>
      </c>
      <c r="B541" s="30" t="str">
        <v>重庆</v>
      </c>
      <c r="C541" s="27" t="str">
        <v>（7）水电合约价差损益折合度电水平</v>
      </c>
      <c r="D541" s="30">
        <v>0</v>
      </c>
      <c r="E541" s="30">
        <v>0</v>
      </c>
      <c r="F541" s="30">
        <v>0</v>
      </c>
      <c r="G541" s="30">
        <v>0</v>
      </c>
      <c r="H541" s="30">
        <v>0</v>
      </c>
      <c r="I541" s="30">
        <v>0</v>
      </c>
      <c r="J541" s="30">
        <v>0</v>
      </c>
      <c r="K541" s="30">
        <v>0</v>
      </c>
      <c r="L541" s="30">
        <v>0</v>
      </c>
      <c r="M541" s="30">
        <v>0</v>
      </c>
      <c r="N541" s="30">
        <v>0</v>
      </c>
      <c r="O541" s="30">
        <v>0</v>
      </c>
      <c r="P541" s="30">
        <f>IF(SUM(D541:O541)=0,"0",AVERAGEIF(D541:O541,"&lt;&gt;0",D541:O541))</f>
      </c>
      <c r="Q541" s="29"/>
    </row>
    <row customHeight="true" ht="19" r="542">
      <c r="A542" s="15">
        <v>516</v>
      </c>
      <c r="B542" s="30" t="str">
        <v>重庆</v>
      </c>
      <c r="C542" s="27" t="str">
        <v>（8）独立储能容量电费折合度电水平</v>
      </c>
      <c r="D542" s="30">
        <v>0</v>
      </c>
      <c r="E542" s="30">
        <v>0</v>
      </c>
      <c r="F542" s="30">
        <v>0</v>
      </c>
      <c r="G542" s="30">
        <v>0</v>
      </c>
      <c r="H542" s="30">
        <v>0</v>
      </c>
      <c r="I542" s="30">
        <v>0</v>
      </c>
      <c r="J542" s="30">
        <v>0</v>
      </c>
      <c r="K542" s="30">
        <v>0</v>
      </c>
      <c r="L542" s="30">
        <v>0</v>
      </c>
      <c r="M542" s="30">
        <v>0</v>
      </c>
      <c r="N542" s="30">
        <v>0</v>
      </c>
      <c r="O542" s="30">
        <v>0</v>
      </c>
      <c r="P542" s="30">
        <f>IF(SUM(D542:O542)=0,"0",AVERAGEIF(D542:O542,"&lt;&gt;0",D542:O542))</f>
      </c>
      <c r="Q542" s="29"/>
    </row>
    <row customHeight="true" ht="19" r="543">
      <c r="A543" s="15">
        <v>517</v>
      </c>
      <c r="B543" s="30" t="str">
        <v>重庆</v>
      </c>
      <c r="C543" s="27" t="str">
        <v>（9）工商业峰谷分时损益折合度电水平</v>
      </c>
      <c r="D543" s="30">
        <v>0</v>
      </c>
      <c r="E543" s="30">
        <v>0</v>
      </c>
      <c r="F543" s="30">
        <v>0</v>
      </c>
      <c r="G543" s="30">
        <v>0</v>
      </c>
      <c r="H543" s="30">
        <v>0</v>
      </c>
      <c r="I543" s="30">
        <v>0</v>
      </c>
      <c r="J543" s="30">
        <v>0</v>
      </c>
      <c r="K543" s="30">
        <v>0</v>
      </c>
      <c r="L543" s="30">
        <v>0</v>
      </c>
      <c r="M543" s="30">
        <v>0</v>
      </c>
      <c r="N543" s="30">
        <v>0</v>
      </c>
      <c r="O543" s="30">
        <v>0</v>
      </c>
      <c r="P543" s="30">
        <f>IF(SUM(D543:O543)=0,"0",AVERAGEIF(D543:O543,"&lt;&gt;0",D543:O543))</f>
      </c>
      <c r="Q543" s="29"/>
    </row>
    <row customHeight="true" ht="19" r="544">
      <c r="A544" s="15">
        <v>518</v>
      </c>
      <c r="B544" s="30" t="str">
        <v>重庆</v>
      </c>
      <c r="C544" s="27" t="str">
        <v>（10）功率因数调整电费损益折合度电水平</v>
      </c>
      <c r="D544" s="30">
        <v>0</v>
      </c>
      <c r="E544" s="30">
        <v>0</v>
      </c>
      <c r="F544" s="30">
        <v>0</v>
      </c>
      <c r="G544" s="30">
        <v>0</v>
      </c>
      <c r="H544" s="30">
        <v>0</v>
      </c>
      <c r="I544" s="30">
        <v>0</v>
      </c>
      <c r="J544" s="30">
        <v>0</v>
      </c>
      <c r="K544" s="30">
        <v>0</v>
      </c>
      <c r="L544" s="30">
        <v>0</v>
      </c>
      <c r="M544" s="30">
        <v>0</v>
      </c>
      <c r="N544" s="30">
        <v>0</v>
      </c>
      <c r="O544" s="30">
        <v>0</v>
      </c>
      <c r="P544" s="30">
        <f>IF(SUM(D544:O544)=0,"0",AVERAGEIF(D544:O544,"&lt;&gt;0",D544:O544))</f>
      </c>
      <c r="Q544" s="29"/>
    </row>
    <row customHeight="true" ht="19" r="545">
      <c r="A545" s="15">
        <v>519</v>
      </c>
      <c r="B545" s="30" t="str">
        <v>重庆</v>
      </c>
      <c r="C545" s="27" t="str">
        <v>（11）新能源可持续发展价格结算机制差价结算费用折合度电水平</v>
      </c>
      <c r="D545" s="30">
        <v>0</v>
      </c>
      <c r="E545" s="30">
        <v>0</v>
      </c>
      <c r="F545" s="30">
        <v>0</v>
      </c>
      <c r="G545" s="30">
        <v>0</v>
      </c>
      <c r="H545" s="30">
        <v>0</v>
      </c>
      <c r="I545" s="30">
        <v>0</v>
      </c>
      <c r="J545" s="30">
        <v>0</v>
      </c>
      <c r="K545" s="30">
        <v>0</v>
      </c>
      <c r="L545" s="30">
        <v>0</v>
      </c>
      <c r="M545" s="30">
        <v>0</v>
      </c>
      <c r="N545" s="30">
        <v>0</v>
      </c>
      <c r="O545" s="30">
        <v>0</v>
      </c>
      <c r="P545" s="30">
        <f>IF(SUM(D545:O545)=0,"0",AVERAGEIF(D545:O545,"&lt;&gt;0",D545:O545))</f>
      </c>
      <c r="Q545" s="29"/>
    </row>
    <row customHeight="true" ht="19" r="546">
      <c r="A546" s="15">
        <v>520</v>
      </c>
      <c r="B546" s="30" t="str">
        <v>重庆</v>
      </c>
      <c r="C546" s="27" t="str">
        <v>（12）趸售电价损益折合度电水平</v>
      </c>
      <c r="D546" s="30">
        <v>0</v>
      </c>
      <c r="E546" s="30">
        <v>0</v>
      </c>
      <c r="F546" s="30">
        <v>0</v>
      </c>
      <c r="G546" s="30">
        <v>0</v>
      </c>
      <c r="H546" s="30">
        <v>0</v>
      </c>
      <c r="I546" s="30">
        <v>0</v>
      </c>
      <c r="J546" s="30">
        <v>0</v>
      </c>
      <c r="K546" s="30">
        <v>0</v>
      </c>
      <c r="L546" s="30">
        <v>0</v>
      </c>
      <c r="M546" s="30">
        <v>0</v>
      </c>
      <c r="N546" s="30">
        <v>0</v>
      </c>
      <c r="O546" s="30">
        <v>0</v>
      </c>
      <c r="P546" s="30">
        <f>IF(SUM(D546:O546)=0,"0",AVERAGEIF(D546:O546,"&lt;&gt;0",D546:O546))</f>
      </c>
      <c r="Q546" s="29"/>
    </row>
    <row customHeight="true" ht="19" r="547">
      <c r="A547" s="15">
        <v>521</v>
      </c>
      <c r="B547" s="30" t="str">
        <v>重庆</v>
      </c>
      <c r="C547" s="27" t="str">
        <v>（13）代理购电价格新增损益折合度电水平</v>
      </c>
      <c r="D547" s="30">
        <v>0</v>
      </c>
      <c r="E547" s="30">
        <v>0</v>
      </c>
      <c r="F547" s="30">
        <v>0</v>
      </c>
      <c r="G547" s="30">
        <v>0</v>
      </c>
      <c r="H547" s="30">
        <v>0</v>
      </c>
      <c r="I547" s="30">
        <v>0</v>
      </c>
      <c r="J547" s="30">
        <v>0</v>
      </c>
      <c r="K547" s="30">
        <v>0</v>
      </c>
      <c r="L547" s="30">
        <v>0</v>
      </c>
      <c r="M547" s="30">
        <v>0</v>
      </c>
      <c r="N547" s="30">
        <v>0</v>
      </c>
      <c r="O547" s="30">
        <v>0</v>
      </c>
      <c r="P547" s="30">
        <f>IF(SUM(D547:O547)=0,"0",AVERAGEIF(D547:O547,"&lt;&gt;0",D547:O547))</f>
      </c>
      <c r="Q547" s="29"/>
    </row>
    <row customHeight="true" ht="19" r="548">
      <c r="A548" s="15">
        <v>521</v>
      </c>
      <c r="B548" s="30" t="str">
        <v>重庆</v>
      </c>
      <c r="C548" s="27" t="str">
        <v>（14）跨省跨区应急调度价差损益折合度电水平</v>
      </c>
      <c r="D548" s="30">
        <v>0</v>
      </c>
      <c r="E548" s="30">
        <v>0</v>
      </c>
      <c r="F548" s="30">
        <v>0</v>
      </c>
      <c r="G548" s="30">
        <v>0</v>
      </c>
      <c r="H548" s="30">
        <v>0</v>
      </c>
      <c r="I548" s="30">
        <v>0</v>
      </c>
      <c r="J548" s="30">
        <v>0</v>
      </c>
      <c r="K548" s="30">
        <v>0</v>
      </c>
      <c r="L548" s="30">
        <v>0</v>
      </c>
      <c r="M548" s="30">
        <v>0</v>
      </c>
      <c r="N548" s="30">
        <v>0</v>
      </c>
      <c r="O548" s="30">
        <v>0</v>
      </c>
      <c r="P548" s="30">
        <f>IF(SUM(D548:O548)=0,"0",AVERAGEIF(D548:O548,"&lt;&gt;0",D548:O548))</f>
      </c>
      <c r="Q548" s="29"/>
    </row>
    <row customHeight="true" ht="19" r="549">
      <c r="A549" s="15">
        <v>522</v>
      </c>
      <c r="B549" s="30" t="str">
        <v>重庆</v>
      </c>
      <c r="C549" s="27" t="str">
        <v>（15）剩余优先发电价差损益度电水平</v>
      </c>
      <c r="D549" s="30">
        <v>0</v>
      </c>
      <c r="E549" s="30">
        <v>0</v>
      </c>
      <c r="F549" s="30">
        <v>0</v>
      </c>
      <c r="G549" s="30">
        <v>0</v>
      </c>
      <c r="H549" s="30">
        <v>0</v>
      </c>
      <c r="I549" s="30">
        <v>0</v>
      </c>
      <c r="J549" s="30">
        <v>0</v>
      </c>
      <c r="K549" s="30">
        <v>0</v>
      </c>
      <c r="L549" s="30">
        <v>0</v>
      </c>
      <c r="M549" s="30">
        <v>0</v>
      </c>
      <c r="N549" s="30">
        <v>0</v>
      </c>
      <c r="O549" s="30">
        <v>0</v>
      </c>
      <c r="P549" s="30">
        <f>IF(SUM(D549:O549)=0,"0",AVERAGEIF(D549:O549,"&lt;&gt;0",D549:O549))</f>
      </c>
      <c r="Q549" s="29"/>
    </row>
    <row customHeight="true" ht="19" r="550">
      <c r="A550" s="15">
        <v>523</v>
      </c>
      <c r="B550" s="30" t="str">
        <v>重庆</v>
      </c>
      <c r="C550" s="27" t="str">
        <v>（16）其他费用折合度电水平</v>
      </c>
      <c r="D550" s="30">
        <v>0.01494</v>
      </c>
      <c r="E550" s="30">
        <v>0.016588</v>
      </c>
      <c r="F550" s="30">
        <v>0.015519</v>
      </c>
      <c r="G550" s="30">
        <v>0.01824</v>
      </c>
      <c r="H550" s="30">
        <v>0.013089</v>
      </c>
      <c r="I550" s="30">
        <v>0.011343</v>
      </c>
      <c r="J550" s="30">
        <v>0.009496</v>
      </c>
      <c r="K550" s="30">
        <v>0.0109</v>
      </c>
      <c r="L550" s="30">
        <v>0.01391</v>
      </c>
      <c r="M550" s="30">
        <v>0.015075</v>
      </c>
      <c r="N550" s="30">
        <v>0.015852</v>
      </c>
      <c r="O550" s="30">
        <v>0.01202</v>
      </c>
      <c r="P550" s="30">
        <f>IF(SUM(D550:O550)=0,"0",AVERAGEIF(D550:O550,"&lt;&gt;0",D550:O550))</f>
      </c>
      <c r="Q550" s="29"/>
    </row>
    <row r="551">
      <c r="A551" s="15">
        <v>524</v>
      </c>
      <c r="B551" s="15" t="str">
        <v>四川</v>
      </c>
      <c r="C551" s="16" t="str">
        <v>代理工商业购电价格</v>
      </c>
      <c r="D551" s="15">
        <f>D552+D553</f>
      </c>
      <c r="E551" s="15">
        <f>E552+E553</f>
      </c>
      <c r="F551" s="15">
        <f>F552+F553</f>
      </c>
      <c r="G551" s="15">
        <f>G552+G553</f>
      </c>
      <c r="H551" s="15">
        <f>H552+H553</f>
      </c>
      <c r="I551" s="15">
        <f>I552+I553</f>
      </c>
      <c r="J551" s="15">
        <f>J552+J553</f>
      </c>
      <c r="K551" s="15">
        <f>K552+K553</f>
      </c>
      <c r="L551" s="15">
        <f>L552+L553</f>
      </c>
      <c r="M551" s="15">
        <f>M552+M553</f>
      </c>
      <c r="N551" s="15">
        <f>N552+N553</f>
      </c>
      <c r="O551" s="15">
        <f>O552+O553</f>
      </c>
      <c r="P551" s="15">
        <f>IF(SUM(D551:O551)=0,"0",AVERAGEIF(D551:O551,"&lt;&gt;0",D551:O551))</f>
      </c>
      <c r="Q551" s="14"/>
    </row>
    <row customHeight="true" ht="19" r="552">
      <c r="A552" s="15">
        <v>525</v>
      </c>
      <c r="B552" s="15" t="str">
        <v>四川</v>
      </c>
      <c r="C552" s="16" t="str">
        <v>（1）当月平均购电价格</v>
      </c>
      <c r="D552" s="15">
        <v>0.42</v>
      </c>
      <c r="E552" s="15">
        <v>0.422967</v>
      </c>
      <c r="F552" s="15">
        <v>0.444268</v>
      </c>
      <c r="G552" s="15">
        <v>0.435638</v>
      </c>
      <c r="H552" s="15">
        <v>0.310006</v>
      </c>
      <c r="I552" s="15">
        <v>0.254538</v>
      </c>
      <c r="J552" s="15">
        <v>0.184838</v>
      </c>
      <c r="K552" s="15">
        <v>0.269722</v>
      </c>
      <c r="L552" s="15">
        <v>0.21182</v>
      </c>
      <c r="M552" s="15">
        <v>0.323053</v>
      </c>
      <c r="N552" s="15">
        <v>0.391989</v>
      </c>
      <c r="O552" s="15">
        <v>0.430561</v>
      </c>
      <c r="P552" s="15">
        <f>IF(SUM(D552:O552)=0,"0",AVERAGEIF(D552:O552,"&lt;&gt;0",D552:O552))</f>
      </c>
      <c r="Q552" s="14"/>
    </row>
    <row customHeight="true" ht="19" r="553">
      <c r="A553" s="15">
        <v>526</v>
      </c>
      <c r="B553" s="15" t="str">
        <v>四川</v>
      </c>
      <c r="C553" s="16" t="str">
        <v>（2）历史偏差电费折价</v>
      </c>
      <c r="D553" s="15">
        <v>0</v>
      </c>
      <c r="E553" s="15">
        <v>0</v>
      </c>
      <c r="F553" s="15">
        <v>0</v>
      </c>
      <c r="G553" s="15">
        <v>0</v>
      </c>
      <c r="H553" s="15">
        <v>0.031576</v>
      </c>
      <c r="I553" s="15">
        <v>0.035743</v>
      </c>
      <c r="J553" s="15">
        <v>0.017608</v>
      </c>
      <c r="K553" s="15">
        <v>0.007666</v>
      </c>
      <c r="L553" s="15">
        <v>0.025986</v>
      </c>
      <c r="M553" s="15">
        <v>-0.054724</v>
      </c>
      <c r="N553" s="15">
        <v>-0.013157</v>
      </c>
      <c r="O553" s="15">
        <v>0</v>
      </c>
      <c r="P553" s="15">
        <f>IF(SUM(D553:O553)=0,"0",AVERAGEIF(D553:O553,"&lt;&gt;0",D553:O553))</f>
      </c>
      <c r="Q553" s="14"/>
    </row>
    <row customHeight="true" ht="19" r="554">
      <c r="A554" s="15">
        <v>527</v>
      </c>
      <c r="B554" s="15" t="str">
        <v>四川</v>
      </c>
      <c r="C554" s="16" t="str">
        <v>上网环节线损费用折价</v>
      </c>
      <c r="D554" s="15">
        <v>0.0258</v>
      </c>
      <c r="E554" s="15">
        <v>0.025995</v>
      </c>
      <c r="F554" s="15">
        <v>0.027304</v>
      </c>
      <c r="G554" s="15">
        <v>0.026774</v>
      </c>
      <c r="H554" s="15">
        <v>0.020993</v>
      </c>
      <c r="I554" s="15">
        <v>0.01784</v>
      </c>
      <c r="J554" s="15">
        <v>0.012442</v>
      </c>
      <c r="K554" s="15">
        <v>0.017048</v>
      </c>
      <c r="L554" s="15">
        <v>0.014615</v>
      </c>
      <c r="M554" s="15">
        <v>0.016491</v>
      </c>
      <c r="N554" s="15">
        <v>0.023282</v>
      </c>
      <c r="O554" s="15">
        <v>0.026462</v>
      </c>
      <c r="P554" s="15">
        <f>IF(SUM(D554:O554)=0,"0",AVERAGEIF(D554:O554,"&lt;&gt;0",D554:O554))</f>
      </c>
      <c r="Q554" s="14"/>
    </row>
    <row r="555">
      <c r="A555" s="15">
        <v>528</v>
      </c>
      <c r="B555" s="15" t="str">
        <v>四川</v>
      </c>
      <c r="C555" s="16" t="str">
        <v>系统运行费用折合度电水平</v>
      </c>
      <c r="D555" s="15">
        <f>SUM(D556:D571)</f>
      </c>
      <c r="E555" s="15">
        <f>SUM(E556:E571)</f>
      </c>
      <c r="F555" s="15">
        <f>SUM(F556:F571)</f>
      </c>
      <c r="G555" s="15">
        <f>SUM(G556:G571)</f>
      </c>
      <c r="H555" s="15">
        <f>SUM(H556:H571)</f>
      </c>
      <c r="I555" s="15">
        <f>SUM(I556:I571)</f>
      </c>
      <c r="J555" s="15">
        <f>SUM(J556:J571)</f>
      </c>
      <c r="K555" s="15">
        <f>SUM(K556:K571)</f>
      </c>
      <c r="L555" s="15">
        <f>SUM(L556:L571)</f>
      </c>
      <c r="M555" s="15">
        <f>SUM(M556:M571)</f>
      </c>
      <c r="N555" s="15">
        <f>SUM(N556:N571)</f>
      </c>
      <c r="O555" s="15">
        <f>SUM(O556:O571)</f>
      </c>
      <c r="P555" s="15">
        <f>IF(SUM(D555:O555)=0,"0",AVERAGEIF(D555:O555,"&lt;&gt;0",D555:O555))</f>
      </c>
      <c r="Q555" s="14"/>
    </row>
    <row customHeight="true" ht="19" r="556">
      <c r="A556" s="15">
        <v>529</v>
      </c>
      <c r="B556" s="15" t="str">
        <v>四川</v>
      </c>
      <c r="C556" s="16" t="str">
        <v>（1）辅助服务费用折合度电水平</v>
      </c>
      <c r="D556" s="15">
        <v>0</v>
      </c>
      <c r="E556" s="15">
        <v>0</v>
      </c>
      <c r="F556" s="15">
        <v>0</v>
      </c>
      <c r="G556" s="15">
        <v>0</v>
      </c>
      <c r="H556" s="15">
        <v>0</v>
      </c>
      <c r="I556" s="15">
        <v>0</v>
      </c>
      <c r="J556" s="15">
        <v>0</v>
      </c>
      <c r="K556" s="15">
        <v>0</v>
      </c>
      <c r="L556" s="15">
        <v>0</v>
      </c>
      <c r="M556" s="15">
        <v>0</v>
      </c>
      <c r="N556" s="15">
        <v>0</v>
      </c>
      <c r="O556" s="15">
        <v>0</v>
      </c>
      <c r="P556" s="15">
        <f>IF(SUM(D556:O556)=0,"0",AVERAGEIF(D556:O556,"&lt;&gt;0",D556:O556))</f>
      </c>
      <c r="Q556" s="14"/>
    </row>
    <row customHeight="true" ht="19" r="557">
      <c r="A557" s="15">
        <v>530</v>
      </c>
      <c r="B557" s="15" t="str">
        <v>四川</v>
      </c>
      <c r="C557" s="16" t="str">
        <v>（2）抽水蓄能容量电费折合度电水平</v>
      </c>
      <c r="D557" s="15">
        <v>0</v>
      </c>
      <c r="E557" s="15">
        <v>0</v>
      </c>
      <c r="F557" s="15">
        <v>0</v>
      </c>
      <c r="G557" s="15">
        <v>0</v>
      </c>
      <c r="H557" s="15">
        <v>0</v>
      </c>
      <c r="I557" s="15">
        <v>0</v>
      </c>
      <c r="J557" s="15">
        <v>0</v>
      </c>
      <c r="K557" s="15">
        <v>0</v>
      </c>
      <c r="L557" s="15">
        <v>0</v>
      </c>
      <c r="M557" s="15">
        <v>0</v>
      </c>
      <c r="N557" s="15">
        <v>0</v>
      </c>
      <c r="O557" s="15">
        <v>0</v>
      </c>
      <c r="P557" s="15">
        <f>IF(SUM(D557:O557)=0,"0",AVERAGEIF(D557:O557,"&lt;&gt;0",D557:O557))</f>
      </c>
      <c r="Q557" s="14"/>
    </row>
    <row customHeight="true" ht="19" r="558">
      <c r="A558" s="15">
        <v>531</v>
      </c>
      <c r="B558" s="15" t="str">
        <v>四川</v>
      </c>
      <c r="C558" s="16" t="str">
        <v>（3）上网环节线损代理采购损益折合度电水平</v>
      </c>
      <c r="D558" s="15">
        <v>0</v>
      </c>
      <c r="E558" s="15">
        <v>0</v>
      </c>
      <c r="F558" s="15">
        <v>0</v>
      </c>
      <c r="G558" s="15">
        <v>0</v>
      </c>
      <c r="H558" s="15">
        <v>0</v>
      </c>
      <c r="I558" s="15">
        <v>0</v>
      </c>
      <c r="J558" s="15">
        <v>0</v>
      </c>
      <c r="K558" s="15">
        <v>0</v>
      </c>
      <c r="L558" s="15">
        <v>0</v>
      </c>
      <c r="M558" s="15">
        <v>0</v>
      </c>
      <c r="N558" s="15">
        <v>0</v>
      </c>
      <c r="O558" s="15">
        <v>0</v>
      </c>
      <c r="P558" s="15">
        <f>IF(SUM(D558:O558)=0,"0",AVERAGEIF(D558:O558,"&lt;&gt;0",D558:O558))</f>
      </c>
      <c r="Q558" s="14"/>
    </row>
    <row customHeight="true" ht="19" r="559">
      <c r="A559" s="15">
        <v>532</v>
      </c>
      <c r="B559" s="15" t="str">
        <v>四川</v>
      </c>
      <c r="C559" s="16" t="str">
        <v>（4）电价交叉补贴新增损益折合度电水平</v>
      </c>
      <c r="D559" s="15">
        <v>0</v>
      </c>
      <c r="E559" s="15">
        <v>0</v>
      </c>
      <c r="F559" s="15">
        <v>0</v>
      </c>
      <c r="G559" s="15">
        <v>0</v>
      </c>
      <c r="H559" s="15">
        <v>0</v>
      </c>
      <c r="I559" s="15">
        <v>0</v>
      </c>
      <c r="J559" s="15">
        <v>0</v>
      </c>
      <c r="K559" s="15">
        <v>0</v>
      </c>
      <c r="L559" s="15">
        <v>0</v>
      </c>
      <c r="M559" s="15">
        <v>0</v>
      </c>
      <c r="N559" s="15">
        <v>0</v>
      </c>
      <c r="O559" s="15">
        <v>0</v>
      </c>
      <c r="P559" s="15">
        <f>IF(SUM(D559:O559)=0,"0",AVERAGEIF(D559:O559,"&lt;&gt;0",D559:O559))</f>
      </c>
      <c r="Q559" s="14"/>
    </row>
    <row customHeight="true" ht="19" r="560">
      <c r="A560" s="15">
        <v>533</v>
      </c>
      <c r="B560" s="15" t="str">
        <v>四川</v>
      </c>
      <c r="C560" s="16" t="str">
        <v>（5）煤电容量电费折合度电水平</v>
      </c>
      <c r="D560" s="15">
        <v>0.0081</v>
      </c>
      <c r="E560" s="15">
        <v>0.008833</v>
      </c>
      <c r="F560" s="15">
        <v>0.00791</v>
      </c>
      <c r="G560" s="15">
        <v>0.008335</v>
      </c>
      <c r="H560" s="15">
        <v>0.007126</v>
      </c>
      <c r="I560" s="15">
        <v>0.006912</v>
      </c>
      <c r="J560" s="15">
        <v>0.006263</v>
      </c>
      <c r="K560" s="15">
        <v>0.006243</v>
      </c>
      <c r="L560" s="15">
        <v>0.006507</v>
      </c>
      <c r="M560" s="15">
        <v>0.006573</v>
      </c>
      <c r="N560" s="15">
        <v>0.007016</v>
      </c>
      <c r="O560" s="15">
        <v>0.007221</v>
      </c>
      <c r="P560" s="15">
        <f>IF(SUM(D560:O560)=0,"0",AVERAGEIF(D560:O560,"&lt;&gt;0",D560:O560))</f>
      </c>
      <c r="Q560" s="14"/>
    </row>
    <row customHeight="true" ht="19" r="561">
      <c r="A561" s="15">
        <v>534</v>
      </c>
      <c r="B561" s="15" t="str">
        <v>四川</v>
      </c>
      <c r="C561" s="16" t="str">
        <v>（6）天然气发电容量电费折合度电水平</v>
      </c>
      <c r="D561" s="15">
        <v>0.0044</v>
      </c>
      <c r="E561" s="15">
        <v>0.008414</v>
      </c>
      <c r="F561" s="15">
        <v>0.007535</v>
      </c>
      <c r="G561" s="15">
        <v>0.007411</v>
      </c>
      <c r="H561" s="15">
        <v>0.006788</v>
      </c>
      <c r="I561" s="15">
        <v>0.006584</v>
      </c>
      <c r="J561" s="15">
        <v>0.005966</v>
      </c>
      <c r="K561" s="15">
        <v>0.005815</v>
      </c>
      <c r="L561" s="15">
        <v>0.006198</v>
      </c>
      <c r="M561" s="15">
        <v>0.006019</v>
      </c>
      <c r="N561" s="15">
        <v>0.004037</v>
      </c>
      <c r="O561" s="15">
        <v>0.00572</v>
      </c>
      <c r="P561" s="15">
        <f>IF(SUM(D561:O561)=0,"0",AVERAGEIF(D561:O561,"&lt;&gt;0",D561:O561))</f>
      </c>
      <c r="Q561" s="14"/>
    </row>
    <row customHeight="true" ht="19" r="562">
      <c r="A562" s="15">
        <v>535</v>
      </c>
      <c r="B562" s="15" t="str">
        <v>四川</v>
      </c>
      <c r="C562" s="16" t="str">
        <v>（7）水电合约价差损益折合度电水平</v>
      </c>
      <c r="D562" s="15">
        <v>0</v>
      </c>
      <c r="E562" s="15">
        <v>0</v>
      </c>
      <c r="F562" s="15">
        <v>0</v>
      </c>
      <c r="G562" s="15">
        <v>0</v>
      </c>
      <c r="H562" s="15">
        <v>0</v>
      </c>
      <c r="I562" s="15">
        <v>0</v>
      </c>
      <c r="J562" s="15">
        <v>0</v>
      </c>
      <c r="K562" s="15">
        <v>0</v>
      </c>
      <c r="L562" s="15">
        <v>0</v>
      </c>
      <c r="M562" s="15">
        <v>0</v>
      </c>
      <c r="N562" s="15">
        <v>0</v>
      </c>
      <c r="O562" s="15">
        <v>0</v>
      </c>
      <c r="P562" s="15">
        <f>IF(SUM(D562:O562)=0,"0",AVERAGEIF(D562:O562,"&lt;&gt;0",D562:O562))</f>
      </c>
      <c r="Q562" s="14"/>
    </row>
    <row customHeight="true" ht="19" r="563">
      <c r="A563" s="15">
        <v>536</v>
      </c>
      <c r="B563" s="15" t="str">
        <v>四川</v>
      </c>
      <c r="C563" s="16" t="str">
        <v>（8）独立储能容量电费折合度电水平</v>
      </c>
      <c r="D563" s="15">
        <v>0</v>
      </c>
      <c r="E563" s="15">
        <v>0</v>
      </c>
      <c r="F563" s="15">
        <v>0</v>
      </c>
      <c r="G563" s="15">
        <v>0</v>
      </c>
      <c r="H563" s="15">
        <v>0</v>
      </c>
      <c r="I563" s="15">
        <v>0</v>
      </c>
      <c r="J563" s="15">
        <v>0</v>
      </c>
      <c r="K563" s="15">
        <v>0</v>
      </c>
      <c r="L563" s="15">
        <v>0</v>
      </c>
      <c r="M563" s="15">
        <v>0</v>
      </c>
      <c r="N563" s="15">
        <v>0</v>
      </c>
      <c r="O563" s="15">
        <v>0</v>
      </c>
      <c r="P563" s="15">
        <f>IF(SUM(D563:O563)=0,"0",AVERAGEIF(D563:O563,"&lt;&gt;0",D563:O563))</f>
      </c>
      <c r="Q563" s="14"/>
    </row>
    <row customHeight="true" ht="19" r="564">
      <c r="A564" s="15">
        <v>537</v>
      </c>
      <c r="B564" s="15" t="str">
        <v>四川</v>
      </c>
      <c r="C564" s="16" t="str">
        <v>（9）工商业峰谷分时损益折合度电水平</v>
      </c>
      <c r="D564" s="15">
        <v>0.0428</v>
      </c>
      <c r="E564" s="15">
        <v>0.04507</v>
      </c>
      <c r="F564" s="15">
        <v>0.039143</v>
      </c>
      <c r="G564" s="15">
        <v>0.043833</v>
      </c>
      <c r="H564" s="15">
        <v>0.04278</v>
      </c>
      <c r="I564" s="15">
        <v>-0.027852</v>
      </c>
      <c r="J564" s="15">
        <v>-0.009942</v>
      </c>
      <c r="K564" s="15">
        <v>-0.019469</v>
      </c>
      <c r="L564" s="15">
        <v>0.003085</v>
      </c>
      <c r="M564" s="15">
        <v>-0.004536</v>
      </c>
      <c r="N564" s="15">
        <v>0.003708</v>
      </c>
      <c r="O564" s="15">
        <v>0.03029</v>
      </c>
      <c r="P564" s="15">
        <f>IF(SUM(D564:O564)=0,"0",AVERAGEIF(D564:O564,"&lt;&gt;0",D564:O564))</f>
      </c>
      <c r="Q564" s="14"/>
    </row>
    <row customHeight="true" ht="19" r="565">
      <c r="A565" s="15">
        <v>538</v>
      </c>
      <c r="B565" s="15" t="str">
        <v>四川</v>
      </c>
      <c r="C565" s="16" t="str">
        <v>（10）功率因数调整电费损益折合度电水平</v>
      </c>
      <c r="D565" s="15">
        <v>0</v>
      </c>
      <c r="E565" s="15">
        <v>0</v>
      </c>
      <c r="F565" s="15">
        <v>0</v>
      </c>
      <c r="G565" s="15">
        <v>0</v>
      </c>
      <c r="H565" s="15">
        <v>0</v>
      </c>
      <c r="I565" s="15">
        <v>0</v>
      </c>
      <c r="J565" s="15">
        <v>0</v>
      </c>
      <c r="K565" s="15">
        <v>0</v>
      </c>
      <c r="L565" s="15">
        <v>0</v>
      </c>
      <c r="M565" s="15">
        <v>0</v>
      </c>
      <c r="N565" s="15">
        <v>0</v>
      </c>
      <c r="O565" s="15">
        <v>0</v>
      </c>
      <c r="P565" s="15">
        <f>IF(SUM(D565:O565)=0,"0",AVERAGEIF(D565:O565,"&lt;&gt;0",D565:O565))</f>
      </c>
      <c r="Q565" s="14"/>
    </row>
    <row customHeight="true" ht="19" r="566">
      <c r="A566" s="15">
        <v>539</v>
      </c>
      <c r="B566" s="15" t="str">
        <v>四川</v>
      </c>
      <c r="C566" s="16" t="str">
        <v>（11）新能源可持续发展价格结算机制差价结算费用折合度电水平</v>
      </c>
      <c r="D566" s="15">
        <v>0</v>
      </c>
      <c r="E566" s="15">
        <v>0</v>
      </c>
      <c r="F566" s="15">
        <v>0</v>
      </c>
      <c r="G566" s="15">
        <v>0</v>
      </c>
      <c r="H566" s="15">
        <v>0</v>
      </c>
      <c r="I566" s="15">
        <v>0</v>
      </c>
      <c r="J566" s="15">
        <v>0</v>
      </c>
      <c r="K566" s="15">
        <v>0</v>
      </c>
      <c r="L566" s="15">
        <v>0</v>
      </c>
      <c r="M566" s="15">
        <v>0</v>
      </c>
      <c r="N566" s="15">
        <v>0</v>
      </c>
      <c r="O566" s="15">
        <v>-0.000034</v>
      </c>
      <c r="P566" s="15">
        <f>IF(SUM(D566:O566)=0,"0",AVERAGEIF(D566:O566,"&lt;&gt;0",D566:O566))</f>
      </c>
      <c r="Q566" s="14"/>
    </row>
    <row customHeight="true" ht="19" r="567">
      <c r="A567" s="15">
        <v>540</v>
      </c>
      <c r="B567" s="15" t="str">
        <v>四川</v>
      </c>
      <c r="C567" s="16" t="str">
        <v>（12）趸售电价损益折合度电水平</v>
      </c>
      <c r="D567" s="15">
        <v>0</v>
      </c>
      <c r="E567" s="15">
        <v>0</v>
      </c>
      <c r="F567" s="15">
        <v>0</v>
      </c>
      <c r="G567" s="15">
        <v>0</v>
      </c>
      <c r="H567" s="15">
        <v>0</v>
      </c>
      <c r="I567" s="15">
        <v>0</v>
      </c>
      <c r="J567" s="15">
        <v>0</v>
      </c>
      <c r="K567" s="15">
        <v>0</v>
      </c>
      <c r="L567" s="15">
        <v>0</v>
      </c>
      <c r="M567" s="15">
        <v>0</v>
      </c>
      <c r="N567" s="15">
        <v>0</v>
      </c>
      <c r="O567" s="15">
        <v>0</v>
      </c>
      <c r="P567" s="15">
        <f>IF(SUM(D567:O567)=0,"0",AVERAGEIF(D567:O567,"&lt;&gt;0",D567:O567))</f>
      </c>
      <c r="Q567" s="14"/>
    </row>
    <row customHeight="true" ht="19" r="568">
      <c r="A568" s="15">
        <v>540</v>
      </c>
      <c r="B568" s="15" t="str">
        <v>四川</v>
      </c>
      <c r="C568" s="39" t="str">
        <v>（13）代理购电价格新增损益折合度电水平</v>
      </c>
      <c r="D568" s="15">
        <v>0</v>
      </c>
      <c r="E568" s="15">
        <v>0</v>
      </c>
      <c r="F568" s="15">
        <v>0</v>
      </c>
      <c r="G568" s="15">
        <v>0</v>
      </c>
      <c r="H568" s="15">
        <v>0</v>
      </c>
      <c r="I568" s="15">
        <v>0</v>
      </c>
      <c r="J568" s="15">
        <v>0</v>
      </c>
      <c r="K568" s="15">
        <v>0</v>
      </c>
      <c r="L568" s="15">
        <v>0</v>
      </c>
      <c r="M568" s="15">
        <v>0</v>
      </c>
      <c r="N568" s="15">
        <v>0</v>
      </c>
      <c r="O568" s="15">
        <v>0</v>
      </c>
      <c r="P568" s="15">
        <f>IF(SUM(D568:O568)=0,"0",AVERAGEIF(D568:O568,"&lt;&gt;0",D568:O568))</f>
      </c>
      <c r="Q568" s="14"/>
    </row>
    <row customHeight="true" ht="19" r="569">
      <c r="A569" s="15">
        <v>541</v>
      </c>
      <c r="B569" s="15" t="str">
        <v>四川</v>
      </c>
      <c r="C569" s="39" t="str">
        <v>（14）跨省跨区应急调度价差损益折合度电水平</v>
      </c>
      <c r="D569" s="15">
        <v>0</v>
      </c>
      <c r="E569" s="15">
        <v>0</v>
      </c>
      <c r="F569" s="15">
        <v>0</v>
      </c>
      <c r="G569" s="15">
        <v>0</v>
      </c>
      <c r="H569" s="15">
        <v>0</v>
      </c>
      <c r="I569" s="15">
        <v>0</v>
      </c>
      <c r="J569" s="15">
        <v>0</v>
      </c>
      <c r="K569" s="15">
        <v>0</v>
      </c>
      <c r="L569" s="15">
        <v>0</v>
      </c>
      <c r="M569" s="15">
        <v>0</v>
      </c>
      <c r="N569" s="15">
        <v>0</v>
      </c>
      <c r="O569" s="15">
        <v>0</v>
      </c>
      <c r="P569" s="15">
        <f>IF(SUM(D569:O569)=0,"0",AVERAGEIF(D569:O569,"&lt;&gt;0",D569:O569))</f>
      </c>
      <c r="Q569" s="14"/>
    </row>
    <row customHeight="true" ht="19" r="570">
      <c r="A570" s="15">
        <v>542</v>
      </c>
      <c r="B570" s="15" t="str">
        <v>四川</v>
      </c>
      <c r="C570" s="39" t="str">
        <v>（15）剩余优先发电价差损益度电水平</v>
      </c>
      <c r="D570" s="15">
        <v>0</v>
      </c>
      <c r="E570" s="15">
        <v>0</v>
      </c>
      <c r="F570" s="15">
        <v>0</v>
      </c>
      <c r="G570" s="15">
        <v>0</v>
      </c>
      <c r="H570" s="15">
        <v>0</v>
      </c>
      <c r="I570" s="15">
        <v>0</v>
      </c>
      <c r="J570" s="15">
        <v>0</v>
      </c>
      <c r="K570" s="15">
        <v>0</v>
      </c>
      <c r="L570" s="15">
        <v>0</v>
      </c>
      <c r="M570" s="15">
        <v>0</v>
      </c>
      <c r="N570" s="15">
        <v>0.005524</v>
      </c>
      <c r="O570" s="15">
        <v>0</v>
      </c>
      <c r="P570" s="15">
        <f>IF(SUM(D570:O570)=0,"0",AVERAGEIF(D570:O570,"&lt;&gt;0",D570:O570))</f>
      </c>
      <c r="Q570" s="14"/>
    </row>
    <row customHeight="true" ht="19" r="571">
      <c r="A571" s="15">
        <v>543</v>
      </c>
      <c r="B571" s="15" t="str">
        <v>四川</v>
      </c>
      <c r="C571" s="39" t="str">
        <v>（16）其他费用折合度电水平</v>
      </c>
      <c r="D571" s="15">
        <v>0</v>
      </c>
      <c r="E571" s="15">
        <v>0</v>
      </c>
      <c r="F571" s="15">
        <v>0</v>
      </c>
      <c r="G571" s="15">
        <v>0</v>
      </c>
      <c r="H571" s="15">
        <v>0</v>
      </c>
      <c r="I571" s="15">
        <v>0</v>
      </c>
      <c r="J571" s="15">
        <v>0</v>
      </c>
      <c r="K571" s="15">
        <v>0</v>
      </c>
      <c r="L571" s="15">
        <v>0</v>
      </c>
      <c r="M571" s="15">
        <v>0</v>
      </c>
      <c r="N571" s="15">
        <v>0</v>
      </c>
      <c r="O571" s="15">
        <v>0</v>
      </c>
      <c r="P571" s="15">
        <f>IF(SUM(D571:O571)=0,"0",AVERAGEIF(D571:O571,"&lt;&gt;0",D571:O571))</f>
      </c>
      <c r="Q571" s="14"/>
    </row>
    <row r="572">
      <c r="A572" s="15">
        <v>544</v>
      </c>
      <c r="B572" s="30" t="str">
        <v>广东</v>
      </c>
      <c r="C572" s="27" t="str">
        <v>代理工商业购电价格</v>
      </c>
      <c r="D572" s="30">
        <f>D573+D574</f>
      </c>
      <c r="E572" s="30">
        <f>E573+E574</f>
      </c>
      <c r="F572" s="30">
        <f>F573+F574</f>
      </c>
      <c r="G572" s="30">
        <f>G573+G574</f>
      </c>
      <c r="H572" s="30">
        <f>H573+H574</f>
      </c>
      <c r="I572" s="30">
        <f>I573+I574</f>
      </c>
      <c r="J572" s="30">
        <f>J573+J574</f>
      </c>
      <c r="K572" s="30">
        <f>K573+K574</f>
      </c>
      <c r="L572" s="30">
        <f>L573+L574</f>
      </c>
      <c r="M572" s="30">
        <f>M573+M574</f>
      </c>
      <c r="N572" s="30">
        <f>N573+N574</f>
      </c>
      <c r="O572" s="30">
        <f>O573+O574</f>
      </c>
      <c r="P572" s="30">
        <f>IF(SUM(D572:O572)=0,"0",AVERAGEIF(D572:O572,"&lt;&gt;0",D572:O572))</f>
      </c>
      <c r="Q572" s="29"/>
    </row>
    <row customHeight="true" ht="19" r="573">
      <c r="A573" s="15">
        <v>545</v>
      </c>
      <c r="B573" s="30" t="str">
        <v>广东</v>
      </c>
      <c r="C573" s="27" t="str">
        <v>（1）当月平均购电价格</v>
      </c>
      <c r="D573" s="30">
        <v>0.4714</v>
      </c>
      <c r="E573" s="30">
        <v>0.4756</v>
      </c>
      <c r="F573" s="30">
        <v>0.4588</v>
      </c>
      <c r="G573" s="30">
        <v>0.4653</v>
      </c>
      <c r="H573" s="30">
        <v>0.4792</v>
      </c>
      <c r="I573" s="30">
        <v>0.4665</v>
      </c>
      <c r="J573" s="30">
        <v>0.4616</v>
      </c>
      <c r="K573" s="30">
        <v>0.4783</v>
      </c>
      <c r="L573" s="30">
        <v>0.4727</v>
      </c>
      <c r="M573" s="30">
        <v>0.4814</v>
      </c>
      <c r="N573" s="30">
        <v>0.4224</v>
      </c>
      <c r="O573" s="30">
        <v>0.4472</v>
      </c>
      <c r="P573" s="30">
        <f>IF(SUM(D573:O573)=0,"0",AVERAGEIF(D573:O573,"&lt;&gt;0",D573:O573))</f>
      </c>
      <c r="Q573" s="29"/>
    </row>
    <row customHeight="true" ht="19" r="574">
      <c r="A574" s="15">
        <v>546</v>
      </c>
      <c r="B574" s="30" t="str">
        <v>广东</v>
      </c>
      <c r="C574" s="27" t="str">
        <v>（2）历史偏差电费折价</v>
      </c>
      <c r="D574" s="30">
        <v>0.0306</v>
      </c>
      <c r="E574" s="30">
        <v>0.0357</v>
      </c>
      <c r="F574" s="30">
        <v>0.0401</v>
      </c>
      <c r="G574" s="30">
        <v>0.0368</v>
      </c>
      <c r="H574" s="30">
        <v>0.0384</v>
      </c>
      <c r="I574" s="30">
        <v>0.0305</v>
      </c>
      <c r="J574" s="30">
        <v>0.0179</v>
      </c>
      <c r="K574" s="30">
        <v>0.0239</v>
      </c>
      <c r="L574" s="30">
        <v>0.0303</v>
      </c>
      <c r="M574" s="30">
        <v>0.0096</v>
      </c>
      <c r="N574" s="30">
        <v>0.0105</v>
      </c>
      <c r="O574" s="30">
        <v>0.0091</v>
      </c>
      <c r="P574" s="30">
        <f>IF(SUM(D574:O574)=0,"0",AVERAGEIF(D574:O574,"&lt;&gt;0",D574:O574))</f>
      </c>
      <c r="Q574" s="29"/>
    </row>
    <row customHeight="true" ht="19" r="575">
      <c r="A575" s="15">
        <v>547</v>
      </c>
      <c r="B575" s="30" t="str">
        <v>广东</v>
      </c>
      <c r="C575" s="27" t="str">
        <v>上网环节线损费用折价</v>
      </c>
      <c r="D575" s="30">
        <v>0.015</v>
      </c>
      <c r="E575" s="30">
        <v>0.0153</v>
      </c>
      <c r="F575" s="30">
        <v>0.0155</v>
      </c>
      <c r="G575" s="30">
        <v>0.0151</v>
      </c>
      <c r="H575" s="30">
        <v>0.0153</v>
      </c>
      <c r="I575" s="30">
        <v>0.0144</v>
      </c>
      <c r="J575" s="30">
        <v>0.0148</v>
      </c>
      <c r="K575" s="30">
        <v>0.0147</v>
      </c>
      <c r="L575" s="30">
        <v>0.0152</v>
      </c>
      <c r="M575" s="30">
        <v>0.0151</v>
      </c>
      <c r="N575" s="30">
        <v>0.0155</v>
      </c>
      <c r="O575" s="30">
        <v>0.0157</v>
      </c>
      <c r="P575" s="30">
        <f>IF(SUM(D575:O575)=0,"0",AVERAGEIF(D575:O575,"&lt;&gt;0",D575:O575))</f>
      </c>
      <c r="Q575" s="29"/>
    </row>
    <row r="576">
      <c r="A576" s="15">
        <v>548</v>
      </c>
      <c r="B576" s="30" t="str">
        <v>广东</v>
      </c>
      <c r="C576" s="27" t="str">
        <v>系统运行费用折合度电水平</v>
      </c>
      <c r="D576" s="30">
        <f>SUM(D577:D592)</f>
      </c>
      <c r="E576" s="30">
        <f>SUM(E577:E592)</f>
      </c>
      <c r="F576" s="30">
        <f>SUM(F577:F592)</f>
      </c>
      <c r="G576" s="30">
        <f>SUM(G577:G592)</f>
      </c>
      <c r="H576" s="30">
        <f>SUM(H577:H592)</f>
      </c>
      <c r="I576" s="30">
        <f>SUM(I577:I592)</f>
      </c>
      <c r="J576" s="30">
        <f>SUM(J577:J592)</f>
      </c>
      <c r="K576" s="30">
        <f>SUM(K577:K592)</f>
      </c>
      <c r="L576" s="30">
        <f>SUM(L577:L592)</f>
      </c>
      <c r="M576" s="30">
        <f>SUM(M577:M592)</f>
      </c>
      <c r="N576" s="30">
        <f>SUM(N577:N592)</f>
      </c>
      <c r="O576" s="30">
        <f>SUM(O577:O592)</f>
      </c>
      <c r="P576" s="30">
        <f>IF(SUM(D576:O576)=0,"0",AVERAGEIF(D576:O576,"&lt;&gt;0",D576:O576))</f>
      </c>
      <c r="Q576" s="29"/>
    </row>
    <row customHeight="true" ht="19" r="577">
      <c r="A577" s="15">
        <v>549</v>
      </c>
      <c r="B577" s="30" t="str">
        <v>广东</v>
      </c>
      <c r="C577" s="27" t="str">
        <v>（1）辅助服务费用折合度电水平</v>
      </c>
      <c r="D577" s="30">
        <v>0.0014</v>
      </c>
      <c r="E577" s="30">
        <v>0.0014</v>
      </c>
      <c r="F577" s="30">
        <v>0.0006</v>
      </c>
      <c r="G577" s="30">
        <v>0.0008</v>
      </c>
      <c r="H577" s="30">
        <v>0.0009</v>
      </c>
      <c r="I577" s="30">
        <v>0.0007</v>
      </c>
      <c r="J577" s="30">
        <v>0.0009</v>
      </c>
      <c r="K577" s="30">
        <v>0.0009</v>
      </c>
      <c r="L577" s="30">
        <v>0.0009</v>
      </c>
      <c r="M577" s="30">
        <v>0.0012</v>
      </c>
      <c r="N577" s="30">
        <v>0.0012</v>
      </c>
      <c r="O577" s="30">
        <v>0.0023</v>
      </c>
      <c r="P577" s="30">
        <f>IF(SUM(D577:O577)=0,"0",AVERAGEIF(D577:O577,"&lt;&gt;0",D577:O577))</f>
      </c>
      <c r="Q577" s="29"/>
    </row>
    <row customHeight="true" ht="19" r="578">
      <c r="A578" s="15">
        <v>550</v>
      </c>
      <c r="B578" s="30" t="str">
        <v>广东</v>
      </c>
      <c r="C578" s="27" t="str">
        <v>（2）抽水蓄能容量电费折合度电水平</v>
      </c>
      <c r="D578" s="30">
        <v>0.0089</v>
      </c>
      <c r="E578" s="30">
        <v>0.009</v>
      </c>
      <c r="F578" s="30">
        <v>0.006</v>
      </c>
      <c r="G578" s="30">
        <v>0.006</v>
      </c>
      <c r="H578" s="30">
        <v>0.0057</v>
      </c>
      <c r="I578" s="30">
        <v>0.0057</v>
      </c>
      <c r="J578" s="30">
        <v>0.005</v>
      </c>
      <c r="K578" s="30">
        <v>0.0052</v>
      </c>
      <c r="L578" s="30">
        <v>0.0057</v>
      </c>
      <c r="M578" s="30">
        <v>0.006</v>
      </c>
      <c r="N578" s="30">
        <v>0.0062</v>
      </c>
      <c r="O578" s="30">
        <v>0.0067</v>
      </c>
      <c r="P578" s="30">
        <f>IF(SUM(D578:O578)=0,"0",AVERAGEIF(D578:O578,"&lt;&gt;0",D578:O578))</f>
      </c>
      <c r="Q578" s="29"/>
    </row>
    <row customHeight="true" ht="19" r="579">
      <c r="A579" s="15">
        <v>551</v>
      </c>
      <c r="B579" s="30" t="str">
        <v>广东</v>
      </c>
      <c r="C579" s="27" t="str">
        <v>（3）上网环节线损代理采购损益折合度电水平</v>
      </c>
      <c r="D579" s="30">
        <v>0</v>
      </c>
      <c r="E579" s="30">
        <v>0</v>
      </c>
      <c r="F579" s="30">
        <v>0</v>
      </c>
      <c r="G579" s="30">
        <v>0</v>
      </c>
      <c r="H579" s="30">
        <v>0</v>
      </c>
      <c r="I579" s="30">
        <v>0</v>
      </c>
      <c r="J579" s="30">
        <v>0</v>
      </c>
      <c r="K579" s="30">
        <v>0</v>
      </c>
      <c r="L579" s="30">
        <v>0</v>
      </c>
      <c r="M579" s="30">
        <v>0</v>
      </c>
      <c r="N579" s="30">
        <v>0</v>
      </c>
      <c r="O579" s="30">
        <v>0</v>
      </c>
      <c r="P579" s="30">
        <f>IF(SUM(D579:O579)=0,"0",AVERAGEIF(D579:O579,"&lt;&gt;0",D579:O579))</f>
      </c>
      <c r="Q579" s="29"/>
    </row>
    <row customHeight="true" ht="19" r="580">
      <c r="A580" s="15">
        <v>552</v>
      </c>
      <c r="B580" s="30" t="str">
        <v>广东</v>
      </c>
      <c r="C580" s="27" t="str">
        <v>（4）电价交叉补贴新增损益折合度电水平</v>
      </c>
      <c r="D580" s="30">
        <v>0</v>
      </c>
      <c r="E580" s="30">
        <v>0</v>
      </c>
      <c r="F580" s="30">
        <v>0</v>
      </c>
      <c r="G580" s="30">
        <v>0</v>
      </c>
      <c r="H580" s="30">
        <v>0</v>
      </c>
      <c r="I580" s="30">
        <v>0</v>
      </c>
      <c r="J580" s="30">
        <v>0</v>
      </c>
      <c r="K580" s="30">
        <v>0</v>
      </c>
      <c r="L580" s="30">
        <v>0</v>
      </c>
      <c r="M580" s="30">
        <v>0</v>
      </c>
      <c r="N580" s="30">
        <v>0</v>
      </c>
      <c r="O580" s="30">
        <v>0</v>
      </c>
      <c r="P580" s="30">
        <f>IF(SUM(D580:O580)=0,"0",AVERAGEIF(D580:O580,"&lt;&gt;0",D580:O580))</f>
      </c>
      <c r="Q580" s="29"/>
    </row>
    <row customHeight="true" ht="19" r="581">
      <c r="A581" s="15">
        <v>553</v>
      </c>
      <c r="B581" s="30" t="str">
        <v>广东</v>
      </c>
      <c r="C581" s="27" t="str">
        <v>（5）煤电容量电费折合度电水平</v>
      </c>
      <c r="D581" s="30">
        <v>0.0264</v>
      </c>
      <c r="E581" s="30">
        <v>0.028</v>
      </c>
      <c r="F581" s="30">
        <v>0.0194</v>
      </c>
      <c r="G581" s="30">
        <v>0.0174</v>
      </c>
      <c r="H581" s="30">
        <v>0.0196</v>
      </c>
      <c r="I581" s="30">
        <v>0.0165</v>
      </c>
      <c r="J581" s="30">
        <v>0.0143</v>
      </c>
      <c r="K581" s="30">
        <v>0.0153</v>
      </c>
      <c r="L581" s="30">
        <v>0.0285</v>
      </c>
      <c r="M581" s="30">
        <v>0.0398</v>
      </c>
      <c r="N581" s="30">
        <v>0.0322</v>
      </c>
      <c r="O581" s="30">
        <v>0.0342</v>
      </c>
      <c r="P581" s="30">
        <f>IF(SUM(D581:O581)=0,"0",AVERAGEIF(D581:O581,"&lt;&gt;0",D581:O581))</f>
      </c>
      <c r="Q581" s="29"/>
    </row>
    <row customHeight="true" ht="19" r="582">
      <c r="A582" s="15">
        <v>554</v>
      </c>
      <c r="B582" s="30" t="str">
        <v>广东</v>
      </c>
      <c r="C582" s="27" t="str">
        <v>（6）天然气发电容量电费折合度电水平</v>
      </c>
      <c r="D582" s="30">
        <v>0</v>
      </c>
      <c r="E582" s="30">
        <v>0</v>
      </c>
      <c r="F582" s="30">
        <v>0</v>
      </c>
      <c r="G582" s="30">
        <v>0</v>
      </c>
      <c r="H582" s="30">
        <v>0</v>
      </c>
      <c r="I582" s="30">
        <v>0</v>
      </c>
      <c r="J582" s="30">
        <v>0</v>
      </c>
      <c r="K582" s="30">
        <v>0</v>
      </c>
      <c r="L582" s="30">
        <v>0</v>
      </c>
      <c r="M582" s="30">
        <v>0</v>
      </c>
      <c r="N582" s="30">
        <v>0</v>
      </c>
      <c r="O582" s="30">
        <v>0</v>
      </c>
      <c r="P582" s="30">
        <f>IF(SUM(D582:O582)=0,"0",AVERAGEIF(D582:O582,"&lt;&gt;0",D582:O582))</f>
      </c>
      <c r="Q582" s="29"/>
    </row>
    <row customHeight="true" ht="19" r="583">
      <c r="A583" s="15">
        <v>555</v>
      </c>
      <c r="B583" s="30" t="str">
        <v>广东</v>
      </c>
      <c r="C583" s="27" t="str">
        <v>（7）水电合约价差损益折合度电水平</v>
      </c>
      <c r="D583" s="30">
        <v>0</v>
      </c>
      <c r="E583" s="30">
        <v>0</v>
      </c>
      <c r="F583" s="30">
        <v>0</v>
      </c>
      <c r="G583" s="30">
        <v>0</v>
      </c>
      <c r="H583" s="30">
        <v>0</v>
      </c>
      <c r="I583" s="30">
        <v>0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f>IF(SUM(D583:O583)=0,"0",AVERAGEIF(D583:O583,"&lt;&gt;0",D583:O583))</f>
      </c>
      <c r="Q583" s="29"/>
    </row>
    <row customHeight="true" ht="19" r="584">
      <c r="A584" s="15">
        <v>556</v>
      </c>
      <c r="B584" s="30" t="str">
        <v>广东</v>
      </c>
      <c r="C584" s="27" t="str">
        <v>（8）独立储能容量电费折合度电水平</v>
      </c>
      <c r="D584" s="30">
        <v>0</v>
      </c>
      <c r="E584" s="30">
        <v>0</v>
      </c>
      <c r="F584" s="30">
        <v>0</v>
      </c>
      <c r="G584" s="30">
        <v>0</v>
      </c>
      <c r="H584" s="30">
        <v>0</v>
      </c>
      <c r="I584" s="30">
        <v>0</v>
      </c>
      <c r="J584" s="30">
        <v>0</v>
      </c>
      <c r="K584" s="30">
        <v>0</v>
      </c>
      <c r="L584" s="30">
        <v>0</v>
      </c>
      <c r="M584" s="30">
        <v>0</v>
      </c>
      <c r="N584" s="30">
        <v>0</v>
      </c>
      <c r="O584" s="30">
        <v>0</v>
      </c>
      <c r="P584" s="30">
        <f>IF(SUM(D584:O584)=0,"0",AVERAGEIF(D584:O584,"&lt;&gt;0",D584:O584))</f>
      </c>
      <c r="Q584" s="29"/>
    </row>
    <row customHeight="true" ht="19" r="585">
      <c r="A585" s="15">
        <v>557</v>
      </c>
      <c r="B585" s="30" t="str">
        <v>广东</v>
      </c>
      <c r="C585" s="27" t="str">
        <v>（9）工商业峰谷分时损益折合度电水平</v>
      </c>
      <c r="D585" s="30">
        <v>0</v>
      </c>
      <c r="E585" s="30">
        <v>0</v>
      </c>
      <c r="F585" s="30">
        <v>0</v>
      </c>
      <c r="G585" s="30">
        <v>0</v>
      </c>
      <c r="H585" s="30">
        <v>0</v>
      </c>
      <c r="I585" s="30">
        <v>0</v>
      </c>
      <c r="J585" s="30">
        <v>0</v>
      </c>
      <c r="K585" s="30">
        <v>0</v>
      </c>
      <c r="L585" s="30">
        <v>0</v>
      </c>
      <c r="M585" s="30">
        <v>0</v>
      </c>
      <c r="N585" s="30">
        <v>0</v>
      </c>
      <c r="O585" s="30">
        <v>0</v>
      </c>
      <c r="P585" s="30">
        <f>IF(SUM(D585:O585)=0,"0",AVERAGEIF(D585:O585,"&lt;&gt;0",D585:O585))</f>
      </c>
      <c r="Q585" s="29"/>
    </row>
    <row customHeight="true" ht="19" r="586">
      <c r="A586" s="15">
        <v>558</v>
      </c>
      <c r="B586" s="30" t="str">
        <v>广东</v>
      </c>
      <c r="C586" s="27" t="str">
        <v>（10）功率因数调整电费损益折合度电水平</v>
      </c>
      <c r="D586" s="30">
        <v>0</v>
      </c>
      <c r="E586" s="30">
        <v>0</v>
      </c>
      <c r="F586" s="30">
        <v>0</v>
      </c>
      <c r="G586" s="30">
        <v>0</v>
      </c>
      <c r="H586" s="30">
        <v>0</v>
      </c>
      <c r="I586" s="30">
        <v>0</v>
      </c>
      <c r="J586" s="30">
        <v>0</v>
      </c>
      <c r="K586" s="30">
        <v>0</v>
      </c>
      <c r="L586" s="30">
        <v>0</v>
      </c>
      <c r="M586" s="30">
        <v>0</v>
      </c>
      <c r="N586" s="30">
        <v>0</v>
      </c>
      <c r="O586" s="30">
        <v>0</v>
      </c>
      <c r="P586" s="30">
        <f>IF(SUM(D586:O586)=0,"0",AVERAGEIF(D586:O586,"&lt;&gt;0",D586:O586))</f>
      </c>
      <c r="Q586" s="29"/>
    </row>
    <row customHeight="true" ht="19" r="587">
      <c r="A587" s="15">
        <v>559</v>
      </c>
      <c r="B587" s="30" t="str">
        <v>广东</v>
      </c>
      <c r="C587" s="27" t="str">
        <v>（11）新能源可持续发展价格结算机制差价结算费用折合度电水平</v>
      </c>
      <c r="D587" s="30">
        <v>0</v>
      </c>
      <c r="E587" s="30">
        <v>0</v>
      </c>
      <c r="F587" s="30">
        <v>0</v>
      </c>
      <c r="G587" s="30">
        <v>0</v>
      </c>
      <c r="H587" s="30">
        <v>0</v>
      </c>
      <c r="I587" s="30">
        <v>0</v>
      </c>
      <c r="J587" s="30">
        <v>0</v>
      </c>
      <c r="K587" s="30">
        <v>0</v>
      </c>
      <c r="L587" s="30">
        <v>0</v>
      </c>
      <c r="M587" s="30">
        <v>0</v>
      </c>
      <c r="N587" s="30">
        <v>0.0423</v>
      </c>
      <c r="O587" s="30">
        <v>0.0292</v>
      </c>
      <c r="P587" s="30">
        <f>IF(SUM(D587:O587)=0,"0",AVERAGEIF(D587:O587,"&lt;&gt;0",D587:O587))</f>
      </c>
      <c r="Q587" s="29"/>
    </row>
    <row customHeight="true" ht="19" r="588">
      <c r="A588" s="15">
        <v>560</v>
      </c>
      <c r="B588" s="30" t="str">
        <v>广东</v>
      </c>
      <c r="C588" s="27" t="str">
        <v>（12）趸售电价损益折合度电水平</v>
      </c>
      <c r="D588" s="30">
        <v>0</v>
      </c>
      <c r="E588" s="30">
        <v>0</v>
      </c>
      <c r="F588" s="30">
        <v>0</v>
      </c>
      <c r="G588" s="30">
        <v>0</v>
      </c>
      <c r="H588" s="30">
        <v>0</v>
      </c>
      <c r="I588" s="30">
        <v>0</v>
      </c>
      <c r="J588" s="30">
        <v>0</v>
      </c>
      <c r="K588" s="30">
        <v>0</v>
      </c>
      <c r="L588" s="30">
        <v>0</v>
      </c>
      <c r="M588" s="30">
        <v>0</v>
      </c>
      <c r="N588" s="30">
        <v>0</v>
      </c>
      <c r="O588" s="30">
        <v>0</v>
      </c>
      <c r="P588" s="30">
        <f>IF(SUM(D588:O588)=0,"0",AVERAGEIF(D588:O588,"&lt;&gt;0",D588:O588))</f>
      </c>
      <c r="Q588" s="29"/>
    </row>
    <row customHeight="true" ht="19" r="589">
      <c r="A589" s="15">
        <v>560</v>
      </c>
      <c r="B589" s="30" t="str">
        <v>广东</v>
      </c>
      <c r="C589" s="27" t="str">
        <v>（13）代理购电价格新增损益折合度电水平</v>
      </c>
      <c r="D589" s="30">
        <v>0</v>
      </c>
      <c r="E589" s="30">
        <v>0</v>
      </c>
      <c r="F589" s="30">
        <v>0</v>
      </c>
      <c r="G589" s="30">
        <v>0</v>
      </c>
      <c r="H589" s="30">
        <v>0</v>
      </c>
      <c r="I589" s="30">
        <v>0</v>
      </c>
      <c r="J589" s="30">
        <v>0</v>
      </c>
      <c r="K589" s="30">
        <v>0</v>
      </c>
      <c r="L589" s="30">
        <v>0</v>
      </c>
      <c r="M589" s="30">
        <v>0</v>
      </c>
      <c r="N589" s="30">
        <v>0</v>
      </c>
      <c r="O589" s="30">
        <v>0</v>
      </c>
      <c r="P589" s="30">
        <f>IF(SUM(D589:O589)=0,"0",AVERAGEIF(D589:O589,"&lt;&gt;0",D589:O589))</f>
      </c>
      <c r="Q589" s="29"/>
    </row>
    <row customHeight="true" ht="19" r="590">
      <c r="A590" s="15">
        <v>561</v>
      </c>
      <c r="B590" s="30" t="str">
        <v>广东</v>
      </c>
      <c r="C590" s="27" t="str">
        <v>（14）跨省跨区应急调度价差损益折合度电水平</v>
      </c>
      <c r="D590" s="30">
        <v>0</v>
      </c>
      <c r="E590" s="30">
        <v>0</v>
      </c>
      <c r="F590" s="30">
        <v>0</v>
      </c>
      <c r="G590" s="30">
        <v>0</v>
      </c>
      <c r="H590" s="30">
        <v>0</v>
      </c>
      <c r="I590" s="30">
        <v>0</v>
      </c>
      <c r="J590" s="30">
        <v>0</v>
      </c>
      <c r="K590" s="30">
        <v>0</v>
      </c>
      <c r="L590" s="30">
        <v>0</v>
      </c>
      <c r="M590" s="30">
        <v>0</v>
      </c>
      <c r="N590" s="30">
        <v>0</v>
      </c>
      <c r="O590" s="30">
        <v>0</v>
      </c>
      <c r="P590" s="30">
        <f>IF(SUM(D590:O590)=0,"0",AVERAGEIF(D590:O590,"&lt;&gt;0",D590:O590))</f>
      </c>
      <c r="Q590" s="29"/>
    </row>
    <row customHeight="true" ht="19" r="591">
      <c r="A591" s="15">
        <v>562</v>
      </c>
      <c r="B591" s="30" t="str">
        <v>广东</v>
      </c>
      <c r="C591" s="27" t="str">
        <v>（15）剩余优先发电价差损益度电水平</v>
      </c>
      <c r="D591" s="30">
        <v>0</v>
      </c>
      <c r="E591" s="30">
        <v>0</v>
      </c>
      <c r="F591" s="30">
        <v>0</v>
      </c>
      <c r="G591" s="30">
        <v>0</v>
      </c>
      <c r="H591" s="30">
        <v>0</v>
      </c>
      <c r="I591" s="30">
        <v>0</v>
      </c>
      <c r="J591" s="30">
        <v>0</v>
      </c>
      <c r="K591" s="30">
        <v>0</v>
      </c>
      <c r="L591" s="30">
        <v>0</v>
      </c>
      <c r="M591" s="30">
        <v>0</v>
      </c>
      <c r="N591" s="30">
        <v>0</v>
      </c>
      <c r="O591" s="30">
        <v>0</v>
      </c>
      <c r="P591" s="30">
        <f>IF(SUM(D591:O591)=0,"0",AVERAGEIF(D591:O591,"&lt;&gt;0",D591:O591))</f>
      </c>
      <c r="Q591" s="29"/>
    </row>
    <row customHeight="true" ht="19" r="592">
      <c r="A592" s="15">
        <v>563</v>
      </c>
      <c r="B592" s="30" t="str">
        <v>广东</v>
      </c>
      <c r="C592" s="27" t="str">
        <v>（16）其他费用折合度电水平</v>
      </c>
      <c r="D592" s="30">
        <v>0</v>
      </c>
      <c r="E592" s="30">
        <v>0</v>
      </c>
      <c r="F592" s="30">
        <v>0</v>
      </c>
      <c r="G592" s="30">
        <v>0</v>
      </c>
      <c r="H592" s="30">
        <v>0</v>
      </c>
      <c r="I592" s="30">
        <v>0</v>
      </c>
      <c r="J592" s="30">
        <v>0</v>
      </c>
      <c r="K592" s="30">
        <v>0</v>
      </c>
      <c r="L592" s="30">
        <v>0</v>
      </c>
      <c r="M592" s="30">
        <v>0</v>
      </c>
      <c r="N592" s="30">
        <v>0</v>
      </c>
      <c r="O592" s="30">
        <v>0</v>
      </c>
      <c r="P592" s="30">
        <f>IF(SUM(D592:O592)=0,"0",AVERAGEIF(D592:O592,"&lt;&gt;0",D592:O592))</f>
      </c>
      <c r="Q592" s="29"/>
    </row>
    <row r="593">
      <c r="A593" s="15">
        <v>564</v>
      </c>
      <c r="B593" s="15" t="str">
        <v>广西</v>
      </c>
      <c r="C593" s="16" t="str">
        <v>代理工商业购电价格</v>
      </c>
      <c r="D593" s="15">
        <f>D594+D595</f>
      </c>
      <c r="E593" s="15">
        <f>E594+E595</f>
      </c>
      <c r="F593" s="15">
        <f>F594+F595</f>
      </c>
      <c r="G593" s="15">
        <f>G594+G595</f>
      </c>
      <c r="H593" s="15">
        <f>H594+H595</f>
      </c>
      <c r="I593" s="15">
        <f>I594+I595</f>
      </c>
      <c r="J593" s="15">
        <f>J594+J595</f>
      </c>
      <c r="K593" s="15">
        <f>K594+K595</f>
      </c>
      <c r="L593" s="15">
        <f>L594+L595</f>
      </c>
      <c r="M593" s="15">
        <f>M594+M595</f>
      </c>
      <c r="N593" s="15">
        <f>N594+N595</f>
      </c>
      <c r="O593" s="15">
        <f>O594+O595</f>
      </c>
      <c r="P593" s="15">
        <f>IF(SUM(D593:O593)=0,"0",AVERAGEIF(D593:O593,"&lt;&gt;0",D593:O593))</f>
      </c>
      <c r="Q593" s="14"/>
    </row>
    <row customHeight="true" ht="19" r="594">
      <c r="A594" s="15">
        <v>565</v>
      </c>
      <c r="B594" s="15" t="str">
        <v>广西</v>
      </c>
      <c r="C594" s="16" t="str">
        <v>（1）当月平均购电价格</v>
      </c>
      <c r="D594" s="15">
        <v>0.42967</v>
      </c>
      <c r="E594" s="15">
        <v>0.374413</v>
      </c>
      <c r="F594" s="15">
        <v>0.361519</v>
      </c>
      <c r="G594" s="15">
        <v>0.361659</v>
      </c>
      <c r="H594" s="15">
        <v>0.358033</v>
      </c>
      <c r="I594" s="15">
        <v>0.368943</v>
      </c>
      <c r="J594" s="15">
        <v>0.37638</v>
      </c>
      <c r="K594" s="15">
        <v>0.374217</v>
      </c>
      <c r="L594" s="15">
        <v>0.369823</v>
      </c>
      <c r="M594" s="15">
        <v>0.372101</v>
      </c>
      <c r="N594" s="15">
        <v>0.381346</v>
      </c>
      <c r="O594" s="15">
        <v>0.382324</v>
      </c>
      <c r="P594" s="15">
        <f>IF(SUM(D594:O594)=0,"0",AVERAGEIF(D594:O594,"&lt;&gt;0",D594:O594))</f>
      </c>
      <c r="Q594" s="14"/>
    </row>
    <row customHeight="true" ht="19" r="595">
      <c r="A595" s="15">
        <v>566</v>
      </c>
      <c r="B595" s="15" t="str">
        <v>广西</v>
      </c>
      <c r="C595" s="16" t="str">
        <v>（2）历史偏差电费折价</v>
      </c>
      <c r="D595" s="15">
        <v>0.012905</v>
      </c>
      <c r="E595" s="15">
        <v>-0.053223</v>
      </c>
      <c r="F595" s="15">
        <v>-0.024977</v>
      </c>
      <c r="G595" s="15">
        <v>-0.020635</v>
      </c>
      <c r="H595" s="15">
        <v>-0.016771</v>
      </c>
      <c r="I595" s="15">
        <v>0.013829</v>
      </c>
      <c r="J595" s="15">
        <v>0.035569</v>
      </c>
      <c r="K595" s="15">
        <v>0.014504</v>
      </c>
      <c r="L595" s="15">
        <v>0.004281</v>
      </c>
      <c r="M595" s="15">
        <v>-0.000107</v>
      </c>
      <c r="N595" s="15">
        <v>0.017499</v>
      </c>
      <c r="O595" s="15">
        <v>0.006574</v>
      </c>
      <c r="P595" s="15">
        <f>IF(SUM(D595:O595)=0,"0",AVERAGEIF(D595:O595,"&lt;&gt;0",D595:O595))</f>
      </c>
      <c r="Q595" s="14"/>
    </row>
    <row customHeight="true" ht="19" r="596">
      <c r="A596" s="15">
        <v>567</v>
      </c>
      <c r="B596" s="15" t="str">
        <v>广西</v>
      </c>
      <c r="C596" s="16" t="str">
        <v>上网环节线损费用折价</v>
      </c>
      <c r="D596" s="15">
        <v>0.019662</v>
      </c>
      <c r="E596" s="15">
        <v>0.018713</v>
      </c>
      <c r="F596" s="15">
        <v>0.018068</v>
      </c>
      <c r="G596" s="15">
        <v>0.018075</v>
      </c>
      <c r="H596" s="15">
        <v>0.017894</v>
      </c>
      <c r="I596" s="15">
        <v>0.018439</v>
      </c>
      <c r="J596" s="15">
        <v>0.018811</v>
      </c>
      <c r="K596" s="15">
        <v>0.018703</v>
      </c>
      <c r="L596" s="15">
        <v>0.018483</v>
      </c>
      <c r="M596" s="15">
        <v>0.018597</v>
      </c>
      <c r="N596" s="15">
        <v>0.019059</v>
      </c>
      <c r="O596" s="15">
        <v>0.019108</v>
      </c>
      <c r="P596" s="15">
        <f>IF(SUM(D596:O596)=0,"0",AVERAGEIF(D596:O596,"&lt;&gt;0",D596:O596))</f>
      </c>
      <c r="Q596" s="14"/>
    </row>
    <row r="597">
      <c r="A597" s="15">
        <v>568</v>
      </c>
      <c r="B597" s="15" t="str">
        <v>广西</v>
      </c>
      <c r="C597" s="16" t="str">
        <v>系统运行费用折合度电水平</v>
      </c>
      <c r="D597" s="15">
        <f>SUM(D598:D613)</f>
      </c>
      <c r="E597" s="15">
        <f>SUM(E598:E613)</f>
      </c>
      <c r="F597" s="15">
        <f>SUM(F598:F613)</f>
      </c>
      <c r="G597" s="15">
        <f>SUM(G598:G613)</f>
      </c>
      <c r="H597" s="15">
        <f>SUM(H598:H613)</f>
      </c>
      <c r="I597" s="15">
        <f>SUM(I598:I613)</f>
      </c>
      <c r="J597" s="15">
        <f>SUM(J598:J613)</f>
      </c>
      <c r="K597" s="15">
        <f>SUM(K598:K613)</f>
      </c>
      <c r="L597" s="15">
        <f>SUM(L598:L613)</f>
      </c>
      <c r="M597" s="15">
        <f>SUM(M598:M613)</f>
      </c>
      <c r="N597" s="15">
        <f>SUM(N598:N613)</f>
      </c>
      <c r="O597" s="15">
        <f>SUM(O598:O613)</f>
      </c>
      <c r="P597" s="15">
        <f>IF(SUM(D597:O597)=0,"0",AVERAGEIF(D597:O597,"&lt;&gt;0",D597:O597))</f>
      </c>
      <c r="Q597" s="14"/>
    </row>
    <row customHeight="true" ht="19" r="598">
      <c r="A598" s="15">
        <v>569</v>
      </c>
      <c r="B598" s="15" t="str">
        <v>广西</v>
      </c>
      <c r="C598" s="16" t="str">
        <v>（1）辅助服务费用折合度电水平</v>
      </c>
      <c r="D598" s="15">
        <v>0</v>
      </c>
      <c r="E598" s="15">
        <v>0</v>
      </c>
      <c r="F598" s="15">
        <v>0</v>
      </c>
      <c r="G598" s="15">
        <v>0</v>
      </c>
      <c r="H598" s="15">
        <v>0</v>
      </c>
      <c r="I598" s="15">
        <v>0</v>
      </c>
      <c r="J598" s="15">
        <v>0</v>
      </c>
      <c r="K598" s="15">
        <v>0</v>
      </c>
      <c r="L598" s="15">
        <v>0</v>
      </c>
      <c r="M598" s="15">
        <v>0</v>
      </c>
      <c r="N598" s="15">
        <v>0</v>
      </c>
      <c r="O598" s="15">
        <v>0.003863</v>
      </c>
      <c r="P598" s="15">
        <f>IF(SUM(D598:O598)=0,"0",AVERAGEIF(D598:O598,"&lt;&gt;0",D598:O598))</f>
      </c>
      <c r="Q598" s="14"/>
    </row>
    <row customHeight="true" ht="19" r="599">
      <c r="A599" s="15">
        <v>570</v>
      </c>
      <c r="B599" s="15" t="str">
        <v>广西</v>
      </c>
      <c r="C599" s="16" t="str">
        <v>（2）抽水蓄能容量电费折合度电水平</v>
      </c>
      <c r="D599" s="15">
        <v>0</v>
      </c>
      <c r="E599" s="15">
        <v>0</v>
      </c>
      <c r="F599" s="15">
        <v>0</v>
      </c>
      <c r="G599" s="15">
        <v>0</v>
      </c>
      <c r="H599" s="15">
        <v>0</v>
      </c>
      <c r="I599" s="15">
        <v>0</v>
      </c>
      <c r="J599" s="15">
        <v>0</v>
      </c>
      <c r="K599" s="15">
        <v>0</v>
      </c>
      <c r="L599" s="15">
        <v>0</v>
      </c>
      <c r="M599" s="15">
        <v>0</v>
      </c>
      <c r="N599" s="15">
        <v>0</v>
      </c>
      <c r="O599" s="15">
        <v>0</v>
      </c>
      <c r="P599" s="15">
        <f>IF(SUM(D599:O599)=0,"0",AVERAGEIF(D599:O599,"&lt;&gt;0",D599:O599))</f>
      </c>
      <c r="Q599" s="14"/>
    </row>
    <row customHeight="true" ht="19" r="600">
      <c r="A600" s="15">
        <v>571</v>
      </c>
      <c r="B600" s="15" t="str">
        <v>广西</v>
      </c>
      <c r="C600" s="16" t="str">
        <v>（3）上网环节线损代理采购损益折合度电水平</v>
      </c>
      <c r="D600" s="15">
        <v>0</v>
      </c>
      <c r="E600" s="15">
        <v>0</v>
      </c>
      <c r="F600" s="15">
        <v>0</v>
      </c>
      <c r="G600" s="15">
        <v>0</v>
      </c>
      <c r="H600" s="15">
        <v>0</v>
      </c>
      <c r="I600" s="15">
        <v>0</v>
      </c>
      <c r="J600" s="15">
        <v>0</v>
      </c>
      <c r="K600" s="15">
        <v>0</v>
      </c>
      <c r="L600" s="15">
        <v>0</v>
      </c>
      <c r="M600" s="15">
        <v>0</v>
      </c>
      <c r="N600" s="15">
        <v>0</v>
      </c>
      <c r="O600" s="15">
        <v>0</v>
      </c>
      <c r="P600" s="15">
        <f>IF(SUM(D600:O600)=0,"0",AVERAGEIF(D600:O600,"&lt;&gt;0",D600:O600))</f>
      </c>
      <c r="Q600" s="14"/>
    </row>
    <row customHeight="true" ht="19" r="601">
      <c r="A601" s="15">
        <v>572</v>
      </c>
      <c r="B601" s="15" t="str">
        <v>广西</v>
      </c>
      <c r="C601" s="16" t="str">
        <v>（4）电价交叉补贴新增损益折合度电水平</v>
      </c>
      <c r="D601" s="15">
        <v>0</v>
      </c>
      <c r="E601" s="15">
        <v>0</v>
      </c>
      <c r="F601" s="15">
        <v>0</v>
      </c>
      <c r="G601" s="15">
        <v>0</v>
      </c>
      <c r="H601" s="15">
        <v>0</v>
      </c>
      <c r="I601" s="15">
        <v>0</v>
      </c>
      <c r="J601" s="15">
        <v>0</v>
      </c>
      <c r="K601" s="15">
        <v>0</v>
      </c>
      <c r="L601" s="15">
        <v>0</v>
      </c>
      <c r="M601" s="15">
        <v>0</v>
      </c>
      <c r="N601" s="15">
        <v>0</v>
      </c>
      <c r="O601" s="15">
        <v>0</v>
      </c>
      <c r="P601" s="15">
        <f>IF(SUM(D601:O601)=0,"0",AVERAGEIF(D601:O601,"&lt;&gt;0",D601:O601))</f>
      </c>
      <c r="Q601" s="14"/>
    </row>
    <row customHeight="true" ht="19" r="602">
      <c r="A602" s="15">
        <v>573</v>
      </c>
      <c r="B602" s="15" t="str">
        <v>广西</v>
      </c>
      <c r="C602" s="16" t="str">
        <v>（5）煤电容量电费折合度电水平</v>
      </c>
      <c r="D602" s="15">
        <v>0.024932</v>
      </c>
      <c r="E602" s="15">
        <v>0.029466</v>
      </c>
      <c r="F602" s="15">
        <v>0.025612</v>
      </c>
      <c r="G602" s="15">
        <v>0.026672</v>
      </c>
      <c r="H602" s="15">
        <v>0.023114</v>
      </c>
      <c r="I602" s="15">
        <v>0.02008</v>
      </c>
      <c r="J602" s="15">
        <v>0.018218</v>
      </c>
      <c r="K602" s="15">
        <v>0.019639</v>
      </c>
      <c r="L602" s="15">
        <v>0.01839</v>
      </c>
      <c r="M602" s="15">
        <v>0.020344</v>
      </c>
      <c r="N602" s="15">
        <v>0.021003</v>
      </c>
      <c r="O602" s="15">
        <v>0.029688</v>
      </c>
      <c r="P602" s="15">
        <f>IF(SUM(D602:O602)=0,"0",AVERAGEIF(D602:O602,"&lt;&gt;0",D602:O602))</f>
      </c>
      <c r="Q602" s="14"/>
    </row>
    <row customHeight="true" ht="19" r="603">
      <c r="A603" s="15">
        <v>574</v>
      </c>
      <c r="B603" s="15" t="str">
        <v>广西</v>
      </c>
      <c r="C603" s="16" t="str">
        <v>（6）天然气发电容量电费折合度电水平</v>
      </c>
      <c r="D603" s="15">
        <v>0.001286</v>
      </c>
      <c r="E603" s="15">
        <v>0.001381</v>
      </c>
      <c r="F603" s="15">
        <v>0.001178</v>
      </c>
      <c r="G603" s="15">
        <v>0.001297</v>
      </c>
      <c r="H603" s="15">
        <v>0.001092</v>
      </c>
      <c r="I603" s="15">
        <v>0.001075</v>
      </c>
      <c r="J603" s="15">
        <v>0.001038</v>
      </c>
      <c r="K603" s="15">
        <v>0.000972</v>
      </c>
      <c r="L603" s="15">
        <v>0.000979</v>
      </c>
      <c r="M603" s="15">
        <v>0.000997</v>
      </c>
      <c r="N603" s="15">
        <v>0.00105</v>
      </c>
      <c r="O603" s="15">
        <v>0.000972</v>
      </c>
      <c r="P603" s="15">
        <f>IF(SUM(D603:O603)=0,"0",AVERAGEIF(D603:O603,"&lt;&gt;0",D603:O603))</f>
      </c>
      <c r="Q603" s="14"/>
    </row>
    <row customHeight="true" ht="19" r="604">
      <c r="A604" s="15">
        <v>575</v>
      </c>
      <c r="B604" s="15" t="str">
        <v>广西</v>
      </c>
      <c r="C604" s="16" t="str">
        <v>（7）水电合约价差损益折合度电水平</v>
      </c>
      <c r="D604" s="15">
        <v>0</v>
      </c>
      <c r="E604" s="15">
        <v>0</v>
      </c>
      <c r="F604" s="15">
        <v>0</v>
      </c>
      <c r="G604" s="15">
        <v>0</v>
      </c>
      <c r="H604" s="15">
        <v>0</v>
      </c>
      <c r="I604" s="15">
        <v>0</v>
      </c>
      <c r="J604" s="15">
        <v>0</v>
      </c>
      <c r="K604" s="15">
        <v>0</v>
      </c>
      <c r="L604" s="15">
        <v>0</v>
      </c>
      <c r="M604" s="15">
        <v>0</v>
      </c>
      <c r="N604" s="15">
        <v>0</v>
      </c>
      <c r="O604" s="15">
        <v>0</v>
      </c>
      <c r="P604" s="15">
        <f>IF(SUM(D604:O604)=0,"0",AVERAGEIF(D604:O604,"&lt;&gt;0",D604:O604))</f>
      </c>
      <c r="Q604" s="14"/>
    </row>
    <row customHeight="true" ht="19" r="605">
      <c r="A605" s="15">
        <v>576</v>
      </c>
      <c r="B605" s="15" t="str">
        <v>广西</v>
      </c>
      <c r="C605" s="16" t="str">
        <v>（8）独立储能容量电费折合度电水平</v>
      </c>
      <c r="D605" s="15">
        <v>0</v>
      </c>
      <c r="E605" s="15">
        <v>0</v>
      </c>
      <c r="F605" s="15">
        <v>0</v>
      </c>
      <c r="G605" s="15">
        <v>0</v>
      </c>
      <c r="H605" s="15">
        <v>0</v>
      </c>
      <c r="I605" s="15">
        <v>0</v>
      </c>
      <c r="J605" s="15">
        <v>0</v>
      </c>
      <c r="K605" s="15">
        <v>0</v>
      </c>
      <c r="L605" s="15">
        <v>0</v>
      </c>
      <c r="M605" s="15">
        <v>0</v>
      </c>
      <c r="N605" s="15">
        <v>0</v>
      </c>
      <c r="O605" s="15">
        <v>0</v>
      </c>
      <c r="P605" s="15">
        <f>IF(SUM(D605:O605)=0,"0",AVERAGEIF(D605:O605,"&lt;&gt;0",D605:O605))</f>
      </c>
      <c r="Q605" s="14"/>
    </row>
    <row customHeight="true" ht="19" r="606">
      <c r="A606" s="15">
        <v>577</v>
      </c>
      <c r="B606" s="15" t="str">
        <v>广西</v>
      </c>
      <c r="C606" s="16" t="str">
        <v>（9）工商业峰谷分时损益折合度电水平</v>
      </c>
      <c r="D606" s="15">
        <v>0</v>
      </c>
      <c r="E606" s="15">
        <v>0</v>
      </c>
      <c r="F606" s="15">
        <v>0</v>
      </c>
      <c r="G606" s="15">
        <v>0</v>
      </c>
      <c r="H606" s="15">
        <v>0</v>
      </c>
      <c r="I606" s="15">
        <v>0</v>
      </c>
      <c r="J606" s="15">
        <v>0</v>
      </c>
      <c r="K606" s="15">
        <v>0</v>
      </c>
      <c r="L606" s="15">
        <v>0</v>
      </c>
      <c r="M606" s="15">
        <v>0</v>
      </c>
      <c r="N606" s="15">
        <v>0</v>
      </c>
      <c r="O606" s="15">
        <v>0</v>
      </c>
      <c r="P606" s="15">
        <f>IF(SUM(D606:O606)=0,"0",AVERAGEIF(D606:O606,"&lt;&gt;0",D606:O606))</f>
      </c>
      <c r="Q606" s="14"/>
    </row>
    <row customHeight="true" ht="19" r="607">
      <c r="A607" s="15">
        <v>578</v>
      </c>
      <c r="B607" s="15" t="str">
        <v>广西</v>
      </c>
      <c r="C607" s="16" t="str">
        <v>（10）功率因数调整电费损益折合度电水平</v>
      </c>
      <c r="D607" s="15">
        <v>0</v>
      </c>
      <c r="E607" s="15">
        <v>0</v>
      </c>
      <c r="F607" s="15">
        <v>0</v>
      </c>
      <c r="G607" s="15">
        <v>0</v>
      </c>
      <c r="H607" s="15">
        <v>0</v>
      </c>
      <c r="I607" s="15">
        <v>0</v>
      </c>
      <c r="J607" s="15">
        <v>0</v>
      </c>
      <c r="K607" s="15">
        <v>0</v>
      </c>
      <c r="L607" s="15">
        <v>0</v>
      </c>
      <c r="M607" s="15">
        <v>0</v>
      </c>
      <c r="N607" s="15">
        <v>0</v>
      </c>
      <c r="O607" s="15">
        <v>0</v>
      </c>
      <c r="P607" s="15">
        <f>IF(SUM(D607:O607)=0,"0",AVERAGEIF(D607:O607,"&lt;&gt;0",D607:O607))</f>
      </c>
      <c r="Q607" s="14"/>
    </row>
    <row customHeight="true" ht="19" r="608">
      <c r="A608" s="15">
        <v>579</v>
      </c>
      <c r="B608" s="15" t="str">
        <v>广西</v>
      </c>
      <c r="C608" s="16" t="str">
        <v>（11）新能源可持续发展价格结算机制差价结算费用折合度电水平</v>
      </c>
      <c r="D608" s="15">
        <v>0</v>
      </c>
      <c r="E608" s="15">
        <v>0</v>
      </c>
      <c r="F608" s="15">
        <v>0</v>
      </c>
      <c r="G608" s="15">
        <v>0</v>
      </c>
      <c r="H608" s="15">
        <v>0</v>
      </c>
      <c r="I608" s="15">
        <v>0</v>
      </c>
      <c r="J608" s="15">
        <v>0</v>
      </c>
      <c r="K608" s="15">
        <v>0</v>
      </c>
      <c r="L608" s="15">
        <v>0</v>
      </c>
      <c r="M608" s="15">
        <v>0</v>
      </c>
      <c r="N608" s="15">
        <v>0</v>
      </c>
      <c r="O608" s="15">
        <v>0</v>
      </c>
      <c r="P608" s="15">
        <f>IF(SUM(D608:O608)=0,"0",AVERAGEIF(D608:O608,"&lt;&gt;0",D608:O608))</f>
      </c>
      <c r="Q608" s="14"/>
    </row>
    <row customHeight="true" ht="19" r="609">
      <c r="A609" s="15">
        <v>580</v>
      </c>
      <c r="B609" s="15" t="str">
        <v>广西</v>
      </c>
      <c r="C609" s="16" t="str">
        <v>（12）趸售电价损益折合度电水平</v>
      </c>
      <c r="D609" s="15">
        <v>0</v>
      </c>
      <c r="E609" s="15">
        <v>0</v>
      </c>
      <c r="F609" s="15">
        <v>0</v>
      </c>
      <c r="G609" s="15">
        <v>0</v>
      </c>
      <c r="H609" s="15">
        <v>0</v>
      </c>
      <c r="I609" s="15">
        <v>0</v>
      </c>
      <c r="J609" s="15">
        <v>0</v>
      </c>
      <c r="K609" s="15">
        <v>0</v>
      </c>
      <c r="L609" s="15">
        <v>0</v>
      </c>
      <c r="M609" s="15">
        <v>0</v>
      </c>
      <c r="N609" s="15">
        <v>0</v>
      </c>
      <c r="O609" s="15">
        <v>0</v>
      </c>
      <c r="P609" s="15">
        <f>IF(SUM(D609:O609)=0,"0",AVERAGEIF(D609:O609,"&lt;&gt;0",D609:O609))</f>
      </c>
      <c r="Q609" s="14"/>
    </row>
    <row customHeight="true" ht="19" r="610">
      <c r="A610" s="15">
        <v>581</v>
      </c>
      <c r="B610" s="15" t="str">
        <v>广西</v>
      </c>
      <c r="C610" s="39" t="str">
        <v>（13）代理购电价格新增损益折合度电水平</v>
      </c>
      <c r="D610" s="15">
        <v>0</v>
      </c>
      <c r="E610" s="15">
        <v>0</v>
      </c>
      <c r="F610" s="15">
        <v>0</v>
      </c>
      <c r="G610" s="15">
        <v>0</v>
      </c>
      <c r="H610" s="15">
        <v>0</v>
      </c>
      <c r="I610" s="15">
        <v>0</v>
      </c>
      <c r="J610" s="15">
        <v>0</v>
      </c>
      <c r="K610" s="15">
        <v>0</v>
      </c>
      <c r="L610" s="15">
        <v>0</v>
      </c>
      <c r="M610" s="15">
        <v>0</v>
      </c>
      <c r="N610" s="15">
        <v>0</v>
      </c>
      <c r="O610" s="15">
        <v>0</v>
      </c>
      <c r="P610" s="15">
        <f>IF(SUM(D610:O610)=0,"0",AVERAGEIF(D610:O610,"&lt;&gt;0",D610:O610))</f>
      </c>
      <c r="Q610" s="14"/>
    </row>
    <row customHeight="true" ht="19" r="611">
      <c r="A611" s="15">
        <v>581</v>
      </c>
      <c r="B611" s="15" t="str">
        <v>广西</v>
      </c>
      <c r="C611" s="39" t="str">
        <v>（14）跨省跨区应急调度价差损益折合度电水平</v>
      </c>
      <c r="D611" s="15">
        <v>0</v>
      </c>
      <c r="E611" s="15">
        <v>0</v>
      </c>
      <c r="F611" s="15">
        <v>0</v>
      </c>
      <c r="G611" s="15">
        <v>0</v>
      </c>
      <c r="H611" s="15">
        <v>0</v>
      </c>
      <c r="I611" s="15">
        <v>0</v>
      </c>
      <c r="J611" s="15">
        <v>0</v>
      </c>
      <c r="K611" s="15">
        <v>0</v>
      </c>
      <c r="L611" s="15">
        <v>0</v>
      </c>
      <c r="M611" s="15">
        <v>0</v>
      </c>
      <c r="N611" s="15">
        <v>0</v>
      </c>
      <c r="O611" s="15">
        <v>0</v>
      </c>
      <c r="P611" s="15">
        <f>IF(SUM(D611:O611)=0,"0",AVERAGEIF(D611:O611,"&lt;&gt;0",D611:O611))</f>
      </c>
      <c r="Q611" s="14"/>
    </row>
    <row customHeight="true" ht="19" r="612">
      <c r="A612" s="15">
        <v>582</v>
      </c>
      <c r="B612" s="15" t="str">
        <v>广西</v>
      </c>
      <c r="C612" s="39" t="str">
        <v>（15）剩余优先发电价差损益度电水平</v>
      </c>
      <c r="D612" s="15">
        <v>0</v>
      </c>
      <c r="E612" s="15">
        <v>0</v>
      </c>
      <c r="F612" s="15">
        <v>0</v>
      </c>
      <c r="G612" s="15">
        <v>0</v>
      </c>
      <c r="H612" s="15">
        <v>0</v>
      </c>
      <c r="I612" s="15">
        <v>0</v>
      </c>
      <c r="J612" s="15">
        <v>0</v>
      </c>
      <c r="K612" s="15">
        <v>0</v>
      </c>
      <c r="L612" s="15">
        <v>0</v>
      </c>
      <c r="M612" s="15">
        <v>0</v>
      </c>
      <c r="N612" s="15">
        <v>0</v>
      </c>
      <c r="O612" s="15">
        <v>0</v>
      </c>
      <c r="P612" s="15">
        <f>IF(SUM(D612:O612)=0,"0",AVERAGEIF(D612:O612,"&lt;&gt;0",D612:O612))</f>
      </c>
      <c r="Q612" s="14"/>
    </row>
    <row customHeight="true" ht="19" r="613">
      <c r="A613" s="15">
        <v>583</v>
      </c>
      <c r="B613" s="15" t="str">
        <v>广西</v>
      </c>
      <c r="C613" s="39" t="str">
        <v>（16）其他费用折合度电水平</v>
      </c>
      <c r="D613" s="15">
        <v>0.009977</v>
      </c>
      <c r="E613" s="15">
        <v>0.010261</v>
      </c>
      <c r="F613" s="15">
        <v>0.00639</v>
      </c>
      <c r="G613" s="15">
        <v>0.005288</v>
      </c>
      <c r="H613" s="15">
        <v>0.007922</v>
      </c>
      <c r="I613" s="15">
        <v>0.00836</v>
      </c>
      <c r="J613" s="15">
        <v>0.007772</v>
      </c>
      <c r="K613" s="15">
        <v>0.005441</v>
      </c>
      <c r="L613" s="15">
        <v>0.006797</v>
      </c>
      <c r="M613" s="15">
        <v>0.009426</v>
      </c>
      <c r="N613" s="15">
        <v>0.00841</v>
      </c>
      <c r="O613" s="15">
        <v>0.00561</v>
      </c>
      <c r="P613" s="15">
        <f>IF(SUM(D613:O613)=0,"0",AVERAGEIF(D613:O613,"&lt;&gt;0",D613:O613))</f>
      </c>
      <c r="Q613" s="14"/>
    </row>
    <row r="614">
      <c r="A614" s="15">
        <v>584</v>
      </c>
      <c r="B614" s="30" t="str">
        <v>云南</v>
      </c>
      <c r="C614" s="27" t="str">
        <v>代理工商业购电价格</v>
      </c>
      <c r="D614" s="30">
        <f>D615+D616</f>
      </c>
      <c r="E614" s="30">
        <f>E615+E616</f>
      </c>
      <c r="F614" s="30">
        <f>F615+F616</f>
      </c>
      <c r="G614" s="30">
        <f>G615+G616</f>
      </c>
      <c r="H614" s="30">
        <f>H615+H616</f>
      </c>
      <c r="I614" s="30">
        <f>I615+I616</f>
      </c>
      <c r="J614" s="30">
        <f>J615+J616</f>
      </c>
      <c r="K614" s="30">
        <f>K615+K616</f>
      </c>
      <c r="L614" s="30">
        <f>L615+L616</f>
      </c>
      <c r="M614" s="30">
        <f>M615+M616</f>
      </c>
      <c r="N614" s="30">
        <f>N615+N616</f>
      </c>
      <c r="O614" s="30">
        <f>O615+O616</f>
      </c>
      <c r="P614" s="30">
        <f>IF(SUM(D614:O614)=0,"0",AVERAGEIF(D614:O614,"&lt;&gt;0",D614:O614))</f>
      </c>
      <c r="Q614" s="29"/>
    </row>
    <row customHeight="true" ht="19" r="615">
      <c r="A615" s="15">
        <v>585</v>
      </c>
      <c r="B615" s="30" t="str">
        <v>云南</v>
      </c>
      <c r="C615" s="27" t="str">
        <v>（1）当月平均购电价格</v>
      </c>
      <c r="D615" s="30">
        <v>0.303178</v>
      </c>
      <c r="E615" s="30">
        <v>0.301984</v>
      </c>
      <c r="F615" s="30">
        <v>0.297545</v>
      </c>
      <c r="G615" s="30">
        <v>0.298326</v>
      </c>
      <c r="H615" s="30">
        <v>0.296095</v>
      </c>
      <c r="I615" s="30">
        <v>0.229997</v>
      </c>
      <c r="J615" s="30">
        <v>0.209777</v>
      </c>
      <c r="K615" s="30">
        <v>0.220311</v>
      </c>
      <c r="L615" s="30">
        <v>0.212105</v>
      </c>
      <c r="M615" s="30">
        <v>0.207668</v>
      </c>
      <c r="N615" s="30">
        <v>0.295698</v>
      </c>
      <c r="O615" s="30">
        <v>0.294395</v>
      </c>
      <c r="P615" s="30">
        <f>IF(SUM(D615:O615)=0,"0",AVERAGEIF(D615:O615,"&lt;&gt;0",D615:O615))</f>
      </c>
      <c r="Q615" s="29"/>
    </row>
    <row customHeight="true" ht="19" r="616">
      <c r="A616" s="15">
        <v>586</v>
      </c>
      <c r="B616" s="30" t="str">
        <v>云南</v>
      </c>
      <c r="C616" s="27" t="str">
        <v>（2）历史偏差电费折价</v>
      </c>
      <c r="D616" s="30">
        <v>0.007418</v>
      </c>
      <c r="E616" s="30">
        <v>0.003696</v>
      </c>
      <c r="F616" s="30">
        <v>-0.004349</v>
      </c>
      <c r="G616" s="30">
        <v>0.004207</v>
      </c>
      <c r="H616" s="30">
        <v>0.018033</v>
      </c>
      <c r="I616" s="30">
        <v>0.005431</v>
      </c>
      <c r="J616" s="30">
        <v>-0.000862</v>
      </c>
      <c r="K616" s="30">
        <v>0</v>
      </c>
      <c r="L616" s="30">
        <v>-0.009017</v>
      </c>
      <c r="M616" s="30">
        <v>0.002354</v>
      </c>
      <c r="N616" s="30">
        <v>-0.014978</v>
      </c>
      <c r="O616" s="30">
        <v>-0.010061</v>
      </c>
      <c r="P616" s="30">
        <f>IF(SUM(D616:O616)=0,"0",AVERAGEIF(D616:O616,"&lt;&gt;0",D616:O616))</f>
      </c>
      <c r="Q616" s="29"/>
    </row>
    <row customHeight="true" ht="19" r="617">
      <c r="A617" s="15">
        <v>587</v>
      </c>
      <c r="B617" s="30" t="str">
        <v>云南</v>
      </c>
      <c r="C617" s="27" t="str">
        <v>上网环节线损费用折价</v>
      </c>
      <c r="D617" s="30">
        <v>0.016471</v>
      </c>
      <c r="E617" s="30">
        <v>0.015265</v>
      </c>
      <c r="F617" s="30">
        <v>0.013864</v>
      </c>
      <c r="G617" s="30">
        <v>0.015244</v>
      </c>
      <c r="H617" s="30">
        <v>0.016852</v>
      </c>
      <c r="I617" s="30">
        <v>0.011283</v>
      </c>
      <c r="J617" s="30">
        <v>0.009169</v>
      </c>
      <c r="K617" s="30">
        <v>0.011294</v>
      </c>
      <c r="L617" s="30">
        <v>0.011139</v>
      </c>
      <c r="M617" s="30">
        <v>0.00955</v>
      </c>
      <c r="N617" s="30">
        <v>0.013773</v>
      </c>
      <c r="O617" s="30">
        <v>0.015535</v>
      </c>
      <c r="P617" s="30">
        <f>IF(SUM(D617:O617)=0,"0",AVERAGEIF(D617:O617,"&lt;&gt;0",D617:O617))</f>
      </c>
      <c r="Q617" s="29"/>
    </row>
    <row r="618">
      <c r="A618" s="15">
        <v>588</v>
      </c>
      <c r="B618" s="30" t="str">
        <v>云南</v>
      </c>
      <c r="C618" s="27" t="str">
        <v>系统运行费用折合度电水平</v>
      </c>
      <c r="D618" s="30">
        <f>SUM(D619:D634)</f>
      </c>
      <c r="E618" s="30">
        <f>SUM(E619:E634)</f>
      </c>
      <c r="F618" s="30">
        <f>SUM(F619:F634)</f>
      </c>
      <c r="G618" s="30">
        <f>SUM(G619:G634)</f>
      </c>
      <c r="H618" s="30">
        <f>SUM(H619:H634)</f>
      </c>
      <c r="I618" s="30">
        <f>SUM(I619:I634)</f>
      </c>
      <c r="J618" s="30">
        <f>SUM(J619:J634)</f>
      </c>
      <c r="K618" s="30">
        <f>SUM(K619:K634)</f>
      </c>
      <c r="L618" s="30">
        <f>SUM(L619:L634)</f>
      </c>
      <c r="M618" s="30">
        <f>SUM(M619:M634)</f>
      </c>
      <c r="N618" s="30">
        <f>SUM(N619:N634)</f>
      </c>
      <c r="O618" s="30">
        <f>SUM(O619:O634)</f>
      </c>
      <c r="P618" s="30">
        <f>IF(SUM(D618:O618)=0,"0",AVERAGEIF(D618:O618,"&lt;&gt;0",D618:O618))</f>
      </c>
      <c r="Q618" s="29"/>
    </row>
    <row r="619">
      <c r="A619" s="15">
        <v>589</v>
      </c>
      <c r="B619" s="30" t="str">
        <v>云南</v>
      </c>
      <c r="C619" s="27" t="str">
        <v>（1）辅助服务费用折合度电水平</v>
      </c>
      <c r="D619" s="30">
        <v>0</v>
      </c>
      <c r="E619" s="30">
        <v>0</v>
      </c>
      <c r="F619" s="30">
        <v>0</v>
      </c>
      <c r="G619" s="30">
        <v>0</v>
      </c>
      <c r="H619" s="30">
        <v>0</v>
      </c>
      <c r="I619" s="30">
        <v>0</v>
      </c>
      <c r="J619" s="30">
        <v>0</v>
      </c>
      <c r="K619" s="30">
        <v>0</v>
      </c>
      <c r="L619" s="30">
        <v>0</v>
      </c>
      <c r="M619" s="30">
        <v>0</v>
      </c>
      <c r="N619" s="30">
        <v>0</v>
      </c>
      <c r="O619" s="30">
        <v>0</v>
      </c>
      <c r="P619" s="30">
        <f>IF(SUM(D619:O619)=0,"0",AVERAGEIF(D619:O619,"&lt;&gt;0",D619:O619))</f>
      </c>
      <c r="Q619" s="29"/>
    </row>
    <row r="620">
      <c r="A620" s="15">
        <v>590</v>
      </c>
      <c r="B620" s="30" t="str">
        <v>云南</v>
      </c>
      <c r="C620" s="27" t="str">
        <v>（2）抽水蓄能容量电费折合度电水平</v>
      </c>
      <c r="D620" s="30">
        <v>0</v>
      </c>
      <c r="E620" s="30">
        <v>0</v>
      </c>
      <c r="F620" s="30">
        <v>0</v>
      </c>
      <c r="G620" s="30">
        <v>0</v>
      </c>
      <c r="H620" s="30">
        <v>0</v>
      </c>
      <c r="I620" s="30">
        <v>0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f>IF(SUM(D620:O620)=0,"0",AVERAGEIF(D620:O620,"&lt;&gt;0",D620:O620))</f>
      </c>
      <c r="Q620" s="29"/>
    </row>
    <row r="621">
      <c r="A621" s="15">
        <v>591</v>
      </c>
      <c r="B621" s="30" t="str">
        <v>云南</v>
      </c>
      <c r="C621" s="27" t="str">
        <v>（3）上网环节线损代理采购损益折合度电水平</v>
      </c>
      <c r="D621" s="30">
        <v>0</v>
      </c>
      <c r="E621" s="30">
        <v>0</v>
      </c>
      <c r="F621" s="30">
        <v>0</v>
      </c>
      <c r="G621" s="30">
        <v>0</v>
      </c>
      <c r="H621" s="30">
        <v>0</v>
      </c>
      <c r="I621" s="30">
        <v>0</v>
      </c>
      <c r="J621" s="30">
        <v>0</v>
      </c>
      <c r="K621" s="30">
        <v>0</v>
      </c>
      <c r="L621" s="30">
        <v>0</v>
      </c>
      <c r="M621" s="30">
        <v>0</v>
      </c>
      <c r="N621" s="30">
        <v>0</v>
      </c>
      <c r="O621" s="30">
        <v>0</v>
      </c>
      <c r="P621" s="30">
        <f>IF(SUM(D621:O621)=0,"0",AVERAGEIF(D621:O621,"&lt;&gt;0",D621:O621))</f>
      </c>
      <c r="Q621" s="29"/>
    </row>
    <row r="622">
      <c r="A622" s="15">
        <v>592</v>
      </c>
      <c r="B622" s="30" t="str">
        <v>云南</v>
      </c>
      <c r="C622" s="27" t="str">
        <v>（4）电价交叉补贴新增损益折合度电水平</v>
      </c>
      <c r="D622" s="30">
        <v>0</v>
      </c>
      <c r="E622" s="30">
        <v>0</v>
      </c>
      <c r="F622" s="30">
        <v>0</v>
      </c>
      <c r="G622" s="30">
        <v>0</v>
      </c>
      <c r="H622" s="30">
        <v>0</v>
      </c>
      <c r="I622" s="30">
        <v>0</v>
      </c>
      <c r="J622" s="30">
        <v>0</v>
      </c>
      <c r="K622" s="30">
        <v>0</v>
      </c>
      <c r="L622" s="30">
        <v>0</v>
      </c>
      <c r="M622" s="30">
        <v>0</v>
      </c>
      <c r="N622" s="30">
        <v>0</v>
      </c>
      <c r="O622" s="30">
        <v>0</v>
      </c>
      <c r="P622" s="30">
        <f>IF(SUM(D622:O622)=0,"0",AVERAGEIF(D622:O622,"&lt;&gt;0",D622:O622))</f>
      </c>
      <c r="Q622" s="29"/>
    </row>
    <row r="623">
      <c r="A623" s="15">
        <v>593</v>
      </c>
      <c r="B623" s="30" t="str">
        <v>云南</v>
      </c>
      <c r="C623" s="27" t="str">
        <v>（5）煤电容量电费折合度电水平</v>
      </c>
      <c r="D623" s="30">
        <v>0</v>
      </c>
      <c r="E623" s="30">
        <v>0</v>
      </c>
      <c r="F623" s="30">
        <v>0</v>
      </c>
      <c r="G623" s="30">
        <v>0</v>
      </c>
      <c r="H623" s="30">
        <v>0</v>
      </c>
      <c r="I623" s="30">
        <v>0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f>IF(SUM(D623:O623)=0,"0",AVERAGEIF(D623:O623,"&lt;&gt;0",D623:O623))</f>
      </c>
      <c r="Q623" s="29"/>
    </row>
    <row r="624">
      <c r="A624" s="15">
        <v>594</v>
      </c>
      <c r="B624" s="30" t="str">
        <v>云南</v>
      </c>
      <c r="C624" s="27" t="str">
        <v>（6）天然气发电容量电费折合度电水平</v>
      </c>
      <c r="D624" s="30">
        <v>0</v>
      </c>
      <c r="E624" s="30">
        <v>0</v>
      </c>
      <c r="F624" s="30">
        <v>0</v>
      </c>
      <c r="G624" s="30">
        <v>0</v>
      </c>
      <c r="H624" s="30">
        <v>0</v>
      </c>
      <c r="I624" s="30">
        <v>0</v>
      </c>
      <c r="J624" s="30">
        <v>0</v>
      </c>
      <c r="K624" s="30">
        <v>0</v>
      </c>
      <c r="L624" s="30">
        <v>0</v>
      </c>
      <c r="M624" s="30">
        <v>0</v>
      </c>
      <c r="N624" s="30">
        <v>0</v>
      </c>
      <c r="O624" s="30">
        <v>0</v>
      </c>
      <c r="P624" s="30">
        <f>IF(SUM(D624:O624)=0,"0",AVERAGEIF(D624:O624,"&lt;&gt;0",D624:O624))</f>
      </c>
      <c r="Q624" s="29"/>
    </row>
    <row customHeight="true" ht="19" r="625">
      <c r="A625" s="15">
        <v>595</v>
      </c>
      <c r="B625" s="30" t="str">
        <v>云南</v>
      </c>
      <c r="C625" s="27" t="str">
        <v>（7）水电合约价差损益折合度电水平</v>
      </c>
      <c r="D625" s="30">
        <v>0</v>
      </c>
      <c r="E625" s="30">
        <v>0</v>
      </c>
      <c r="F625" s="30">
        <v>0</v>
      </c>
      <c r="G625" s="30">
        <v>0</v>
      </c>
      <c r="H625" s="30">
        <v>0</v>
      </c>
      <c r="I625" s="30">
        <v>0</v>
      </c>
      <c r="J625" s="30">
        <v>0</v>
      </c>
      <c r="K625" s="30">
        <v>0</v>
      </c>
      <c r="L625" s="30">
        <v>0</v>
      </c>
      <c r="M625" s="30">
        <v>0</v>
      </c>
      <c r="N625" s="30">
        <v>0</v>
      </c>
      <c r="O625" s="30">
        <v>0</v>
      </c>
      <c r="P625" s="30">
        <f>IF(SUM(D625:O625)=0,"0",AVERAGEIF(D625:O625,"&lt;&gt;0",D625:O625))</f>
      </c>
      <c r="Q625" s="29"/>
    </row>
    <row r="626">
      <c r="A626" s="15">
        <v>596</v>
      </c>
      <c r="B626" s="30" t="str">
        <v>云南</v>
      </c>
      <c r="C626" s="27" t="str">
        <v>（8）独立储能容量电费折合度电水平</v>
      </c>
      <c r="D626" s="30">
        <v>0</v>
      </c>
      <c r="E626" s="30">
        <v>0</v>
      </c>
      <c r="F626" s="30">
        <v>0</v>
      </c>
      <c r="G626" s="30">
        <v>0</v>
      </c>
      <c r="H626" s="30">
        <v>0</v>
      </c>
      <c r="I626" s="30">
        <v>0</v>
      </c>
      <c r="J626" s="30">
        <v>0</v>
      </c>
      <c r="K626" s="30">
        <v>0</v>
      </c>
      <c r="L626" s="30">
        <v>0</v>
      </c>
      <c r="M626" s="30">
        <v>0</v>
      </c>
      <c r="N626" s="30">
        <v>0</v>
      </c>
      <c r="O626" s="30">
        <v>0</v>
      </c>
      <c r="P626" s="30">
        <f>IF(SUM(D626:O626)=0,"0",AVERAGEIF(D626:O626,"&lt;&gt;0",D626:O626))</f>
      </c>
      <c r="Q626" s="29"/>
    </row>
    <row r="627">
      <c r="A627" s="15">
        <v>597</v>
      </c>
      <c r="B627" s="30" t="str">
        <v>云南</v>
      </c>
      <c r="C627" s="27" t="str">
        <v>（9）工商业峰谷分时损益折合度电水平</v>
      </c>
      <c r="D627" s="30">
        <v>0</v>
      </c>
      <c r="E627" s="30">
        <v>0</v>
      </c>
      <c r="F627" s="30">
        <v>0</v>
      </c>
      <c r="G627" s="30">
        <v>0</v>
      </c>
      <c r="H627" s="30">
        <v>0</v>
      </c>
      <c r="I627" s="30">
        <v>0</v>
      </c>
      <c r="J627" s="30">
        <v>0</v>
      </c>
      <c r="K627" s="30">
        <v>0</v>
      </c>
      <c r="L627" s="30">
        <v>0</v>
      </c>
      <c r="M627" s="30">
        <v>0</v>
      </c>
      <c r="N627" s="30">
        <v>0</v>
      </c>
      <c r="O627" s="30">
        <v>0</v>
      </c>
      <c r="P627" s="30">
        <f>IF(SUM(D627:O627)=0,"0",AVERAGEIF(D627:O627,"&lt;&gt;0",D627:O627))</f>
      </c>
      <c r="Q627" s="29"/>
    </row>
    <row r="628">
      <c r="A628" s="15">
        <v>598</v>
      </c>
      <c r="B628" s="30" t="str">
        <v>云南</v>
      </c>
      <c r="C628" s="27" t="str">
        <v>（10）功率因数调整电费损益折合度电水平</v>
      </c>
      <c r="D628" s="30">
        <v>0</v>
      </c>
      <c r="E628" s="30">
        <v>0</v>
      </c>
      <c r="F628" s="30">
        <v>0</v>
      </c>
      <c r="G628" s="30">
        <v>0</v>
      </c>
      <c r="H628" s="30">
        <v>0</v>
      </c>
      <c r="I628" s="30">
        <v>0</v>
      </c>
      <c r="J628" s="30">
        <v>0</v>
      </c>
      <c r="K628" s="30">
        <v>0</v>
      </c>
      <c r="L628" s="30">
        <v>0</v>
      </c>
      <c r="M628" s="30">
        <v>0</v>
      </c>
      <c r="N628" s="30">
        <v>0</v>
      </c>
      <c r="O628" s="30">
        <v>0</v>
      </c>
      <c r="P628" s="30">
        <f>IF(SUM(D628:O628)=0,"0",AVERAGEIF(D628:O628,"&lt;&gt;0",D628:O628))</f>
      </c>
      <c r="Q628" s="29"/>
    </row>
    <row r="629">
      <c r="A629" s="15">
        <v>599</v>
      </c>
      <c r="B629" s="30" t="str">
        <v>云南</v>
      </c>
      <c r="C629" s="27" t="str">
        <v>（11）新能源可持续发展价格结算机制差价结算费用折合度电水平</v>
      </c>
      <c r="D629" s="30">
        <v>0</v>
      </c>
      <c r="E629" s="30">
        <v>0</v>
      </c>
      <c r="F629" s="30">
        <v>0</v>
      </c>
      <c r="G629" s="30">
        <v>0</v>
      </c>
      <c r="H629" s="30">
        <v>0</v>
      </c>
      <c r="I629" s="30">
        <v>0</v>
      </c>
      <c r="J629" s="30">
        <v>0</v>
      </c>
      <c r="K629" s="30">
        <v>0</v>
      </c>
      <c r="L629" s="30">
        <v>0</v>
      </c>
      <c r="M629" s="30">
        <v>0</v>
      </c>
      <c r="N629" s="30">
        <v>0</v>
      </c>
      <c r="O629" s="30">
        <v>0</v>
      </c>
      <c r="P629" s="30">
        <f>IF(SUM(D629:O629)=0,"0",AVERAGEIF(D629:O629,"&lt;&gt;0",D629:O629))</f>
      </c>
      <c r="Q629" s="29"/>
    </row>
    <row r="630">
      <c r="A630" s="15">
        <v>600</v>
      </c>
      <c r="B630" s="30" t="str">
        <v>云南</v>
      </c>
      <c r="C630" s="27" t="str">
        <v>（12）趸售电价损益折合度电水平</v>
      </c>
      <c r="D630" s="30">
        <v>0</v>
      </c>
      <c r="E630" s="30">
        <v>0</v>
      </c>
      <c r="F630" s="30">
        <v>0</v>
      </c>
      <c r="G630" s="30">
        <v>0</v>
      </c>
      <c r="H630" s="30">
        <v>0</v>
      </c>
      <c r="I630" s="30">
        <v>0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f>IF(SUM(D630:O630)=0,"0",AVERAGEIF(D630:O630,"&lt;&gt;0",D630:O630))</f>
      </c>
      <c r="Q630" s="29"/>
    </row>
    <row customHeight="true" ht="19" r="631">
      <c r="A631" s="15">
        <v>601</v>
      </c>
      <c r="B631" s="30" t="str">
        <v>云南</v>
      </c>
      <c r="C631" s="27" t="str">
        <v>（13）代理购电价格新增损益折合度电水平</v>
      </c>
      <c r="D631" s="30">
        <v>0</v>
      </c>
      <c r="E631" s="30">
        <v>0</v>
      </c>
      <c r="F631" s="30">
        <v>0</v>
      </c>
      <c r="G631" s="30">
        <v>0</v>
      </c>
      <c r="H631" s="30">
        <v>0</v>
      </c>
      <c r="I631" s="30">
        <v>0</v>
      </c>
      <c r="J631" s="30">
        <v>0</v>
      </c>
      <c r="K631" s="30">
        <v>0</v>
      </c>
      <c r="L631" s="30">
        <v>0</v>
      </c>
      <c r="M631" s="30">
        <v>0</v>
      </c>
      <c r="N631" s="30">
        <v>0</v>
      </c>
      <c r="O631" s="30">
        <v>0</v>
      </c>
      <c r="P631" s="30">
        <f>IF(SUM(D631:O631)=0,"0",AVERAGEIF(D631:O631,"&lt;&gt;0",D631:O631))</f>
      </c>
      <c r="Q631" s="29"/>
    </row>
    <row r="632">
      <c r="A632" s="15">
        <v>601</v>
      </c>
      <c r="B632" s="30" t="str">
        <v>云南</v>
      </c>
      <c r="C632" s="27" t="str">
        <v>（14）跨省跨区应急调度价差损益折合度电水平</v>
      </c>
      <c r="D632" s="30">
        <v>0</v>
      </c>
      <c r="E632" s="30">
        <v>0</v>
      </c>
      <c r="F632" s="30">
        <v>0</v>
      </c>
      <c r="G632" s="30">
        <v>0</v>
      </c>
      <c r="H632" s="30">
        <v>0</v>
      </c>
      <c r="I632" s="30">
        <v>0</v>
      </c>
      <c r="J632" s="30">
        <v>0</v>
      </c>
      <c r="K632" s="30">
        <v>0</v>
      </c>
      <c r="L632" s="30">
        <v>0</v>
      </c>
      <c r="M632" s="30">
        <v>0</v>
      </c>
      <c r="N632" s="30">
        <v>0</v>
      </c>
      <c r="O632" s="30">
        <v>0</v>
      </c>
      <c r="P632" s="30">
        <f>IF(SUM(D632:O632)=0,"0",AVERAGEIF(D632:O632,"&lt;&gt;0",D632:O632))</f>
      </c>
      <c r="Q632" s="29"/>
    </row>
    <row r="633">
      <c r="A633" s="15">
        <v>602</v>
      </c>
      <c r="B633" s="30" t="str">
        <v>云南</v>
      </c>
      <c r="C633" s="27" t="str">
        <v>（15）剩余优先发电价差损益度电水平</v>
      </c>
      <c r="D633" s="30">
        <v>0</v>
      </c>
      <c r="E633" s="30">
        <v>0</v>
      </c>
      <c r="F633" s="30">
        <v>0</v>
      </c>
      <c r="G633" s="30">
        <v>0</v>
      </c>
      <c r="H633" s="30">
        <v>0</v>
      </c>
      <c r="I633" s="30">
        <v>0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30">
        <f>IF(SUM(D633:O633)=0,"0",AVERAGEIF(D633:O633,"&lt;&gt;0",D633:O633))</f>
      </c>
      <c r="Q633" s="29"/>
    </row>
    <row r="634">
      <c r="A634" s="15">
        <v>603</v>
      </c>
      <c r="B634" s="30" t="str">
        <v>云南</v>
      </c>
      <c r="C634" s="27" t="str">
        <v>（16）其他费用折合度电水平</v>
      </c>
      <c r="D634" s="30">
        <v>0</v>
      </c>
      <c r="E634" s="30">
        <v>0</v>
      </c>
      <c r="F634" s="30">
        <v>0</v>
      </c>
      <c r="G634" s="30">
        <v>0</v>
      </c>
      <c r="H634" s="30">
        <v>0</v>
      </c>
      <c r="I634" s="30">
        <v>0</v>
      </c>
      <c r="J634" s="30">
        <v>0</v>
      </c>
      <c r="K634" s="30">
        <v>0</v>
      </c>
      <c r="L634" s="30">
        <v>0</v>
      </c>
      <c r="M634" s="30">
        <v>0</v>
      </c>
      <c r="N634" s="30">
        <v>0</v>
      </c>
      <c r="O634" s="30">
        <v>0</v>
      </c>
      <c r="P634" s="30">
        <f>IF(SUM(D634:O634)=0,"0",AVERAGEIF(D634:O634,"&lt;&gt;0",D634:O634))</f>
      </c>
      <c r="Q634" s="29"/>
    </row>
    <row r="635">
      <c r="A635" s="15">
        <v>604</v>
      </c>
      <c r="B635" s="15" t="str">
        <v>贵州</v>
      </c>
      <c r="C635" s="16" t="str">
        <v>代理工商业购电价格</v>
      </c>
      <c r="D635" s="15">
        <f>D636+D637</f>
      </c>
      <c r="E635" s="15">
        <f>E636+E637</f>
      </c>
      <c r="F635" s="15">
        <f>F636+F637</f>
      </c>
      <c r="G635" s="15">
        <f>G636+G637</f>
      </c>
      <c r="H635" s="15">
        <f>H636+H637</f>
      </c>
      <c r="I635" s="15">
        <f>I636+I637</f>
      </c>
      <c r="J635" s="15">
        <f>J636+J637</f>
      </c>
      <c r="K635" s="15">
        <f>K636+K637</f>
      </c>
      <c r="L635" s="15">
        <f>L636+L637</f>
      </c>
      <c r="M635" s="15">
        <f>M636+M637</f>
      </c>
      <c r="N635" s="15">
        <f>N636+N637</f>
      </c>
      <c r="O635" s="15">
        <f>O636+O637</f>
      </c>
      <c r="P635" s="15">
        <f>IF(SUM(D635:O635)=0,"0",AVERAGEIF(D635:O635,"&lt;&gt;0",D635:O635))</f>
      </c>
      <c r="Q635" s="14"/>
    </row>
    <row customHeight="true" ht="19" r="636">
      <c r="A636" s="15">
        <v>605</v>
      </c>
      <c r="B636" s="15" t="str">
        <v>贵州</v>
      </c>
      <c r="C636" s="16" t="str">
        <v>（1）当月平均购电价格</v>
      </c>
      <c r="D636" s="15">
        <v>0.404044</v>
      </c>
      <c r="E636" s="15">
        <v>0.401291</v>
      </c>
      <c r="F636" s="15">
        <v>0.40035</v>
      </c>
      <c r="G636" s="15">
        <v>0.395358</v>
      </c>
      <c r="H636" s="15">
        <v>0.39544</v>
      </c>
      <c r="I636" s="15">
        <v>0.394125</v>
      </c>
      <c r="J636" s="15">
        <v>0.400515</v>
      </c>
      <c r="K636" s="15">
        <v>0.398992</v>
      </c>
      <c r="L636" s="15">
        <v>0.394054</v>
      </c>
      <c r="M636" s="15">
        <v>0.393858</v>
      </c>
      <c r="N636" s="15">
        <v>0.393591</v>
      </c>
      <c r="O636" s="15">
        <v>0.394032</v>
      </c>
      <c r="P636" s="15">
        <f>IF(SUM(D636:O636)=0,"0",AVERAGEIF(D636:O636,"&lt;&gt;0",D636:O636))</f>
      </c>
      <c r="Q636" s="14"/>
    </row>
    <row customHeight="true" ht="19" r="637">
      <c r="A637" s="15">
        <v>606</v>
      </c>
      <c r="B637" s="15" t="str">
        <v>贵州</v>
      </c>
      <c r="C637" s="16" t="str">
        <v>（2）历史偏差电费折价</v>
      </c>
      <c r="D637" s="15">
        <v>0.00058</v>
      </c>
      <c r="E637" s="15">
        <v>-0.004086</v>
      </c>
      <c r="F637" s="15">
        <v>-0.004891</v>
      </c>
      <c r="G637" s="15">
        <v>0.000627</v>
      </c>
      <c r="H637" s="15">
        <v>0.00016</v>
      </c>
      <c r="I637" s="15">
        <v>-0.001009</v>
      </c>
      <c r="J637" s="15">
        <v>0.000347</v>
      </c>
      <c r="K637" s="15">
        <v>0.004466</v>
      </c>
      <c r="L637" s="15">
        <v>-0.00744</v>
      </c>
      <c r="M637" s="15">
        <v>-0.006162</v>
      </c>
      <c r="N637" s="15">
        <v>-0.004561</v>
      </c>
      <c r="O637" s="15">
        <v>-0.005035</v>
      </c>
      <c r="P637" s="15">
        <f>IF(SUM(D637:O637)=0,"0",AVERAGEIF(D637:O637,"&lt;&gt;0",D637:O637))</f>
      </c>
      <c r="Q637" s="14"/>
    </row>
    <row customHeight="true" ht="19" r="638">
      <c r="A638" s="15">
        <v>607</v>
      </c>
      <c r="B638" s="15" t="str">
        <v>贵州</v>
      </c>
      <c r="C638" s="16" t="str">
        <v>上网环节线损费用折价</v>
      </c>
      <c r="D638" s="15">
        <v>0.02006</v>
      </c>
      <c r="E638" s="15">
        <v>0.019923</v>
      </c>
      <c r="F638" s="15">
        <v>0.019877</v>
      </c>
      <c r="G638" s="15">
        <v>0.019629</v>
      </c>
      <c r="H638" s="15">
        <v>0.019633</v>
      </c>
      <c r="I638" s="15">
        <v>0.019568</v>
      </c>
      <c r="J638" s="15">
        <v>0.019885</v>
      </c>
      <c r="K638" s="15">
        <v>0.019809</v>
      </c>
      <c r="L638" s="15">
        <v>0.019564</v>
      </c>
      <c r="M638" s="15">
        <v>0.019554</v>
      </c>
      <c r="N638" s="15">
        <v>0.019541</v>
      </c>
      <c r="O638" s="15">
        <v>0.019563</v>
      </c>
      <c r="P638" s="15">
        <f>IF(SUM(D638:O638)=0,"0",AVERAGEIF(D638:O638,"&lt;&gt;0",D638:O638))</f>
      </c>
      <c r="Q638" s="14"/>
    </row>
    <row r="639">
      <c r="A639" s="15">
        <v>608</v>
      </c>
      <c r="B639" s="15" t="str">
        <v>贵州</v>
      </c>
      <c r="C639" s="16" t="str">
        <v>系统运行费用折合度电水平</v>
      </c>
      <c r="D639" s="15">
        <f>SUM(D640:D655)</f>
      </c>
      <c r="E639" s="15">
        <f>SUM(E640:E655)</f>
      </c>
      <c r="F639" s="15">
        <f>SUM(F640:F655)</f>
      </c>
      <c r="G639" s="15">
        <f>SUM(G640:G655)</f>
      </c>
      <c r="H639" s="15">
        <f>SUM(H640:H655)</f>
      </c>
      <c r="I639" s="15">
        <f>SUM(I640:I655)</f>
      </c>
      <c r="J639" s="15">
        <f>SUM(J640:J655)</f>
      </c>
      <c r="K639" s="15">
        <f>SUM(K640:K655)</f>
      </c>
      <c r="L639" s="15">
        <f>SUM(L640:L655)</f>
      </c>
      <c r="M639" s="15">
        <f>SUM(M640:M655)</f>
      </c>
      <c r="N639" s="15">
        <f>SUM(N640:N655)</f>
      </c>
      <c r="O639" s="15">
        <f>SUM(O640:O655)</f>
      </c>
      <c r="P639" s="15">
        <f>IF(SUM(D639:O639)=0,"0",AVERAGEIF(D639:O639,"&lt;&gt;0",D639:O639))</f>
      </c>
      <c r="Q639" s="14"/>
    </row>
    <row customHeight="true" ht="19" r="640">
      <c r="A640" s="15">
        <v>609</v>
      </c>
      <c r="B640" s="15" t="str">
        <v>贵州</v>
      </c>
      <c r="C640" s="16" t="str">
        <v>（1）辅助服务费用折合度电水平</v>
      </c>
      <c r="D640" s="15">
        <v>0</v>
      </c>
      <c r="E640" s="15">
        <v>0</v>
      </c>
      <c r="F640" s="15">
        <v>0</v>
      </c>
      <c r="G640" s="15">
        <v>0</v>
      </c>
      <c r="H640" s="15">
        <v>0</v>
      </c>
      <c r="I640" s="15">
        <v>0</v>
      </c>
      <c r="J640" s="15">
        <v>0</v>
      </c>
      <c r="K640" s="15">
        <v>0</v>
      </c>
      <c r="L640" s="15">
        <v>0</v>
      </c>
      <c r="M640" s="15">
        <v>0</v>
      </c>
      <c r="N640" s="15">
        <v>0</v>
      </c>
      <c r="O640" s="15">
        <v>0</v>
      </c>
      <c r="P640" s="15">
        <f>IF(SUM(D640:O640)=0,"0",AVERAGEIF(D640:O640,"&lt;&gt;0",D640:O640))</f>
      </c>
      <c r="Q640" s="14"/>
    </row>
    <row customHeight="true" ht="19" r="641">
      <c r="A641" s="15">
        <v>610</v>
      </c>
      <c r="B641" s="15" t="str">
        <v>贵州</v>
      </c>
      <c r="C641" s="16" t="str">
        <v>（2）抽水蓄能容量电费折合度电水平</v>
      </c>
      <c r="D641" s="15">
        <v>0</v>
      </c>
      <c r="E641" s="15">
        <v>0</v>
      </c>
      <c r="F641" s="15">
        <v>0</v>
      </c>
      <c r="G641" s="15">
        <v>0</v>
      </c>
      <c r="H641" s="15">
        <v>0</v>
      </c>
      <c r="I641" s="15">
        <v>0</v>
      </c>
      <c r="J641" s="15">
        <v>0</v>
      </c>
      <c r="K641" s="15">
        <v>0</v>
      </c>
      <c r="L641" s="15">
        <v>0</v>
      </c>
      <c r="M641" s="15">
        <v>0</v>
      </c>
      <c r="N641" s="15">
        <v>0</v>
      </c>
      <c r="O641" s="15">
        <v>0</v>
      </c>
      <c r="P641" s="15">
        <f>IF(SUM(D641:O641)=0,"0",AVERAGEIF(D641:O641,"&lt;&gt;0",D641:O641))</f>
      </c>
      <c r="Q641" s="14"/>
    </row>
    <row customHeight="true" ht="19" r="642">
      <c r="A642" s="15">
        <v>611</v>
      </c>
      <c r="B642" s="15" t="str">
        <v>贵州</v>
      </c>
      <c r="C642" s="16" t="str">
        <v>（3）上网环节线损代理采购损益折合度电水平</v>
      </c>
      <c r="D642" s="15">
        <v>0</v>
      </c>
      <c r="E642" s="15">
        <v>0</v>
      </c>
      <c r="F642" s="15">
        <v>0</v>
      </c>
      <c r="G642" s="15">
        <v>0</v>
      </c>
      <c r="H642" s="15">
        <v>0</v>
      </c>
      <c r="I642" s="15">
        <v>0</v>
      </c>
      <c r="J642" s="15">
        <v>0</v>
      </c>
      <c r="K642" s="15">
        <v>0</v>
      </c>
      <c r="L642" s="15">
        <v>0</v>
      </c>
      <c r="M642" s="15">
        <v>0</v>
      </c>
      <c r="N642" s="15">
        <v>0</v>
      </c>
      <c r="O642" s="15">
        <v>0</v>
      </c>
      <c r="P642" s="15">
        <f>IF(SUM(D642:O642)=0,"0",AVERAGEIF(D642:O642,"&lt;&gt;0",D642:O642))</f>
      </c>
      <c r="Q642" s="14"/>
    </row>
    <row customHeight="true" ht="19" r="643">
      <c r="A643" s="15">
        <v>612</v>
      </c>
      <c r="B643" s="15" t="str">
        <v>贵州</v>
      </c>
      <c r="C643" s="16" t="str">
        <v>（4）电价交叉补贴新增损益折合度电水平</v>
      </c>
      <c r="D643" s="15">
        <v>0.052019</v>
      </c>
      <c r="E643" s="15">
        <v>0.057931</v>
      </c>
      <c r="F643" s="15">
        <v>0.060642</v>
      </c>
      <c r="G643" s="15">
        <v>0.059343</v>
      </c>
      <c r="H643" s="15">
        <v>0.058989</v>
      </c>
      <c r="I643" s="15">
        <v>0.068035</v>
      </c>
      <c r="J643" s="15">
        <v>0.086457</v>
      </c>
      <c r="K643" s="15">
        <v>0.069131</v>
      </c>
      <c r="L643" s="15">
        <v>0.034461</v>
      </c>
      <c r="M643" s="15">
        <v>0.033753</v>
      </c>
      <c r="N643" s="15">
        <v>0.034023</v>
      </c>
      <c r="O643" s="15">
        <v>-0.014327</v>
      </c>
      <c r="P643" s="15">
        <f>IF(SUM(D643:O643)=0,"0",AVERAGEIF(D643:O643,"&lt;&gt;0",D643:O643))</f>
      </c>
      <c r="Q643" s="14"/>
    </row>
    <row customHeight="true" ht="19" r="644">
      <c r="A644" s="15">
        <v>613</v>
      </c>
      <c r="B644" s="15" t="str">
        <v>贵州</v>
      </c>
      <c r="C644" s="16" t="str">
        <v>（5）煤电容量电费折合度电水平</v>
      </c>
      <c r="D644" s="15">
        <v>0</v>
      </c>
      <c r="E644" s="15">
        <v>0</v>
      </c>
      <c r="F644" s="15">
        <v>0</v>
      </c>
      <c r="G644" s="15">
        <v>0</v>
      </c>
      <c r="H644" s="15">
        <v>0</v>
      </c>
      <c r="I644" s="15">
        <v>0</v>
      </c>
      <c r="J644" s="15">
        <v>0</v>
      </c>
      <c r="K644" s="15">
        <v>0</v>
      </c>
      <c r="L644" s="15">
        <v>0</v>
      </c>
      <c r="M644" s="15">
        <v>0</v>
      </c>
      <c r="N644" s="15">
        <v>0</v>
      </c>
      <c r="O644" s="15">
        <v>0</v>
      </c>
      <c r="P644" s="15">
        <f>IF(SUM(D644:O644)=0,"0",AVERAGEIF(D644:O644,"&lt;&gt;0",D644:O644))</f>
      </c>
      <c r="Q644" s="14"/>
    </row>
    <row customHeight="true" ht="19" r="645">
      <c r="A645" s="15">
        <v>614</v>
      </c>
      <c r="B645" s="15" t="str">
        <v>贵州</v>
      </c>
      <c r="C645" s="16" t="str">
        <v>（6）天然气发电容量电费折合度电水平</v>
      </c>
      <c r="D645" s="15">
        <v>0</v>
      </c>
      <c r="E645" s="15">
        <v>0</v>
      </c>
      <c r="F645" s="15">
        <v>0</v>
      </c>
      <c r="G645" s="15">
        <v>0</v>
      </c>
      <c r="H645" s="15">
        <v>0</v>
      </c>
      <c r="I645" s="15">
        <v>0</v>
      </c>
      <c r="J645" s="15">
        <v>0</v>
      </c>
      <c r="K645" s="15">
        <v>0</v>
      </c>
      <c r="L645" s="15">
        <v>0</v>
      </c>
      <c r="M645" s="15">
        <v>0</v>
      </c>
      <c r="N645" s="15">
        <v>0</v>
      </c>
      <c r="O645" s="15">
        <v>0</v>
      </c>
      <c r="P645" s="15">
        <f>IF(SUM(D645:O645)=0,"0",AVERAGEIF(D645:O645,"&lt;&gt;0",D645:O645))</f>
      </c>
      <c r="Q645" s="14"/>
    </row>
    <row customHeight="true" ht="19" r="646">
      <c r="A646" s="15">
        <v>615</v>
      </c>
      <c r="B646" s="15" t="str">
        <v>贵州</v>
      </c>
      <c r="C646" s="16" t="str">
        <v>（7）水电合约价差损益折合度电水平</v>
      </c>
      <c r="D646" s="15">
        <v>0</v>
      </c>
      <c r="E646" s="15">
        <v>0</v>
      </c>
      <c r="F646" s="15">
        <v>0</v>
      </c>
      <c r="G646" s="15">
        <v>0</v>
      </c>
      <c r="H646" s="15">
        <v>0</v>
      </c>
      <c r="I646" s="15">
        <v>0</v>
      </c>
      <c r="J646" s="15">
        <v>0</v>
      </c>
      <c r="K646" s="15">
        <v>0</v>
      </c>
      <c r="L646" s="15">
        <v>0</v>
      </c>
      <c r="M646" s="15">
        <v>0</v>
      </c>
      <c r="N646" s="15">
        <v>0</v>
      </c>
      <c r="O646" s="15">
        <v>0</v>
      </c>
      <c r="P646" s="15">
        <f>IF(SUM(D646:O646)=0,"0",AVERAGEIF(D646:O646,"&lt;&gt;0",D646:O646))</f>
      </c>
      <c r="Q646" s="14"/>
    </row>
    <row customHeight="true" ht="19" r="647">
      <c r="A647" s="15">
        <v>616</v>
      </c>
      <c r="B647" s="15" t="str">
        <v>贵州</v>
      </c>
      <c r="C647" s="16" t="str">
        <v>（8）独立储能容量电费折合度电水平</v>
      </c>
      <c r="D647" s="15">
        <v>0</v>
      </c>
      <c r="E647" s="15">
        <v>0</v>
      </c>
      <c r="F647" s="15">
        <v>0</v>
      </c>
      <c r="G647" s="15">
        <v>0</v>
      </c>
      <c r="H647" s="15">
        <v>0</v>
      </c>
      <c r="I647" s="15">
        <v>0</v>
      </c>
      <c r="J647" s="15">
        <v>0</v>
      </c>
      <c r="K647" s="15">
        <v>0</v>
      </c>
      <c r="L647" s="15">
        <v>0</v>
      </c>
      <c r="M647" s="15">
        <v>0</v>
      </c>
      <c r="N647" s="15">
        <v>0</v>
      </c>
      <c r="O647" s="15">
        <v>0</v>
      </c>
      <c r="P647" s="15">
        <f>IF(SUM(D647:O647)=0,"0",AVERAGEIF(D647:O647,"&lt;&gt;0",D647:O647))</f>
      </c>
      <c r="Q647" s="14"/>
    </row>
    <row customHeight="true" ht="19" r="648">
      <c r="A648" s="15">
        <v>617</v>
      </c>
      <c r="B648" s="15" t="str">
        <v>贵州</v>
      </c>
      <c r="C648" s="16" t="str">
        <v>（9）工商业峰谷分时损益折合度电水平</v>
      </c>
      <c r="D648" s="15">
        <v>0</v>
      </c>
      <c r="E648" s="15">
        <v>0</v>
      </c>
      <c r="F648" s="15">
        <v>0</v>
      </c>
      <c r="G648" s="15">
        <v>0</v>
      </c>
      <c r="H648" s="15">
        <v>0</v>
      </c>
      <c r="I648" s="15">
        <v>0</v>
      </c>
      <c r="J648" s="15">
        <v>0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15">
        <f>IF(SUM(D648:O648)=0,"0",AVERAGEIF(D648:O648,"&lt;&gt;0",D648:O648))</f>
      </c>
      <c r="Q648" s="14"/>
    </row>
    <row customHeight="true" ht="19" r="649">
      <c r="A649" s="15">
        <v>618</v>
      </c>
      <c r="B649" s="15" t="str">
        <v>贵州</v>
      </c>
      <c r="C649" s="16" t="str">
        <v>（10）功率因数调整电费损益折合度电水平</v>
      </c>
      <c r="D649" s="15">
        <v>0</v>
      </c>
      <c r="E649" s="15">
        <v>0</v>
      </c>
      <c r="F649" s="15">
        <v>0</v>
      </c>
      <c r="G649" s="15">
        <v>0</v>
      </c>
      <c r="H649" s="15">
        <v>0</v>
      </c>
      <c r="I649" s="15">
        <v>0</v>
      </c>
      <c r="J649" s="15">
        <v>0</v>
      </c>
      <c r="K649" s="15">
        <v>0</v>
      </c>
      <c r="L649" s="15">
        <v>0</v>
      </c>
      <c r="M649" s="15">
        <v>0</v>
      </c>
      <c r="N649" s="15">
        <v>0</v>
      </c>
      <c r="O649" s="15">
        <v>0</v>
      </c>
      <c r="P649" s="15">
        <f>IF(SUM(D649:O649)=0,"0",AVERAGEIF(D649:O649,"&lt;&gt;0",D649:O649))</f>
      </c>
      <c r="Q649" s="14"/>
    </row>
    <row customHeight="true" ht="19" r="650">
      <c r="A650" s="15">
        <v>619</v>
      </c>
      <c r="B650" s="15" t="str">
        <v>贵州</v>
      </c>
      <c r="C650" s="16" t="str">
        <v>（11）新能源可持续发展价格结算机制差价结算费用折合度电水平</v>
      </c>
      <c r="D650" s="15">
        <v>0</v>
      </c>
      <c r="E650" s="15">
        <v>0</v>
      </c>
      <c r="F650" s="15">
        <v>0</v>
      </c>
      <c r="G650" s="15">
        <v>0</v>
      </c>
      <c r="H650" s="15">
        <v>0</v>
      </c>
      <c r="I650" s="15">
        <v>0</v>
      </c>
      <c r="J650" s="15">
        <v>0</v>
      </c>
      <c r="K650" s="15">
        <v>0</v>
      </c>
      <c r="L650" s="15">
        <v>0</v>
      </c>
      <c r="M650" s="15">
        <v>0</v>
      </c>
      <c r="N650" s="15">
        <v>0</v>
      </c>
      <c r="O650" s="15">
        <v>0</v>
      </c>
      <c r="P650" s="15">
        <f>IF(SUM(D650:O650)=0,"0",AVERAGEIF(D650:O650,"&lt;&gt;0",D650:O650))</f>
      </c>
      <c r="Q650" s="14"/>
    </row>
    <row customHeight="true" ht="19" r="651">
      <c r="A651" s="15">
        <v>620</v>
      </c>
      <c r="B651" s="15" t="str">
        <v>贵州</v>
      </c>
      <c r="C651" s="16" t="str">
        <v>（12）趸售电价损益折合度电水平</v>
      </c>
      <c r="D651" s="15">
        <v>0</v>
      </c>
      <c r="E651" s="15">
        <v>0</v>
      </c>
      <c r="F651" s="15">
        <v>0</v>
      </c>
      <c r="G651" s="15">
        <v>0</v>
      </c>
      <c r="H651" s="15">
        <v>0</v>
      </c>
      <c r="I651" s="15">
        <v>0</v>
      </c>
      <c r="J651" s="15">
        <v>0</v>
      </c>
      <c r="K651" s="15">
        <v>0</v>
      </c>
      <c r="L651" s="15">
        <v>0</v>
      </c>
      <c r="M651" s="15">
        <v>0</v>
      </c>
      <c r="N651" s="15">
        <v>0</v>
      </c>
      <c r="O651" s="15">
        <v>0</v>
      </c>
      <c r="P651" s="15">
        <f>IF(SUM(D651:O651)=0,"0",AVERAGEIF(D651:O651,"&lt;&gt;0",D651:O651))</f>
      </c>
      <c r="Q651" s="14"/>
    </row>
    <row customHeight="true" ht="19" r="652">
      <c r="A652" s="15">
        <v>621</v>
      </c>
      <c r="B652" s="15" t="str">
        <v>贵州</v>
      </c>
      <c r="C652" s="39" t="str">
        <v>（13）代理购电价格新增损益折合度电水平</v>
      </c>
      <c r="D652" s="15">
        <v>0</v>
      </c>
      <c r="E652" s="15">
        <v>0</v>
      </c>
      <c r="F652" s="15">
        <v>0</v>
      </c>
      <c r="G652" s="15">
        <v>0</v>
      </c>
      <c r="H652" s="15">
        <v>0</v>
      </c>
      <c r="I652" s="15">
        <v>0</v>
      </c>
      <c r="J652" s="15">
        <v>0</v>
      </c>
      <c r="K652" s="15">
        <v>0</v>
      </c>
      <c r="L652" s="15">
        <v>0</v>
      </c>
      <c r="M652" s="15">
        <v>0</v>
      </c>
      <c r="N652" s="15">
        <v>0</v>
      </c>
      <c r="O652" s="15">
        <v>0</v>
      </c>
      <c r="P652" s="15">
        <f>IF(SUM(D652:O652)=0,"0",AVERAGEIF(D652:O652,"&lt;&gt;0",D652:O652))</f>
      </c>
      <c r="Q652" s="14"/>
    </row>
    <row customHeight="true" ht="19" r="653">
      <c r="A653" s="15">
        <v>621</v>
      </c>
      <c r="B653" s="15" t="str">
        <v>贵州</v>
      </c>
      <c r="C653" s="39" t="str">
        <v>（14）跨省跨区应急调度价差损益折合度电水平</v>
      </c>
      <c r="D653" s="15">
        <v>0</v>
      </c>
      <c r="E653" s="15">
        <v>0</v>
      </c>
      <c r="F653" s="15">
        <v>0</v>
      </c>
      <c r="G653" s="15">
        <v>0</v>
      </c>
      <c r="H653" s="15">
        <v>0</v>
      </c>
      <c r="I653" s="15">
        <v>0</v>
      </c>
      <c r="J653" s="15">
        <v>0</v>
      </c>
      <c r="K653" s="15">
        <v>0</v>
      </c>
      <c r="L653" s="15">
        <v>0</v>
      </c>
      <c r="M653" s="15">
        <v>0</v>
      </c>
      <c r="N653" s="15">
        <v>0</v>
      </c>
      <c r="O653" s="15">
        <v>0</v>
      </c>
      <c r="P653" s="15">
        <f>IF(SUM(D653:O653)=0,"0",AVERAGEIF(D653:O653,"&lt;&gt;0",D653:O653))</f>
      </c>
      <c r="Q653" s="14"/>
    </row>
    <row customHeight="true" ht="19" r="654">
      <c r="A654" s="15">
        <v>622</v>
      </c>
      <c r="B654" s="15" t="str">
        <v>贵州</v>
      </c>
      <c r="C654" s="39" t="str">
        <v>（15）剩余优先发电价差损益度电水平</v>
      </c>
      <c r="D654" s="15">
        <v>0</v>
      </c>
      <c r="E654" s="15">
        <v>0</v>
      </c>
      <c r="F654" s="15">
        <v>0</v>
      </c>
      <c r="G654" s="15">
        <v>0</v>
      </c>
      <c r="H654" s="15">
        <v>0</v>
      </c>
      <c r="I654" s="15">
        <v>0</v>
      </c>
      <c r="J654" s="15">
        <v>0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15">
        <f>IF(SUM(D654:O654)=0,"0",AVERAGEIF(D654:O654,"&lt;&gt;0",D654:O654))</f>
      </c>
      <c r="Q654" s="14"/>
    </row>
    <row customHeight="true" ht="19" r="655">
      <c r="A655" s="15">
        <v>623</v>
      </c>
      <c r="B655" s="15" t="str">
        <v>贵州</v>
      </c>
      <c r="C655" s="39" t="str">
        <v>（16）其他费用折合度电水平</v>
      </c>
      <c r="D655" s="15">
        <v>0</v>
      </c>
      <c r="E655" s="15">
        <v>0</v>
      </c>
      <c r="F655" s="15">
        <v>0</v>
      </c>
      <c r="G655" s="15">
        <v>0</v>
      </c>
      <c r="H655" s="15">
        <v>0</v>
      </c>
      <c r="I655" s="15">
        <v>0</v>
      </c>
      <c r="J655" s="15">
        <v>0</v>
      </c>
      <c r="K655" s="15">
        <v>0</v>
      </c>
      <c r="L655" s="15">
        <v>0</v>
      </c>
      <c r="M655" s="15">
        <v>0</v>
      </c>
      <c r="N655" s="15">
        <v>0</v>
      </c>
      <c r="O655" s="15">
        <v>0</v>
      </c>
      <c r="P655" s="15">
        <f>IF(SUM(D655:O655)=0,"0",AVERAGEIF(D655:O655,"&lt;&gt;0",D655:O655))</f>
      </c>
      <c r="Q655" s="14"/>
    </row>
    <row r="656">
      <c r="A656" s="15">
        <v>624</v>
      </c>
      <c r="B656" s="30" t="str">
        <v>海南</v>
      </c>
      <c r="C656" s="27" t="str">
        <v>代理工商业购电价格</v>
      </c>
      <c r="D656" s="30">
        <f>D657+D658</f>
      </c>
      <c r="E656" s="30">
        <f>E657+E658</f>
      </c>
      <c r="F656" s="30">
        <f>F657+F658</f>
      </c>
      <c r="G656" s="30">
        <f>G657+G658</f>
      </c>
      <c r="H656" s="30">
        <f>H657+H658</f>
      </c>
      <c r="I656" s="30">
        <f>I657+I658</f>
      </c>
      <c r="J656" s="30">
        <f>J657+J658</f>
      </c>
      <c r="K656" s="30">
        <f>K657+K658</f>
      </c>
      <c r="L656" s="30">
        <f>L657+L658</f>
      </c>
      <c r="M656" s="30">
        <f>M657+M658</f>
      </c>
      <c r="N656" s="30">
        <f>N657+N658</f>
      </c>
      <c r="O656" s="30">
        <f>O657+O658</f>
      </c>
      <c r="P656" s="30">
        <f>IF(SUM(D656:O656)=0,"0",AVERAGEIF(D656:O656,"&lt;&gt;0",D656:O656))</f>
      </c>
      <c r="Q656" s="29"/>
    </row>
    <row customHeight="true" ht="19" r="657">
      <c r="A657" s="15">
        <v>625</v>
      </c>
      <c r="B657" s="30" t="str">
        <v>海南</v>
      </c>
      <c r="C657" s="27" t="str">
        <v>（1）当月平均购电价格</v>
      </c>
      <c r="D657" s="30">
        <v>0.50533</v>
      </c>
      <c r="E657" s="30">
        <v>0.48797</v>
      </c>
      <c r="F657" s="30">
        <v>0.48797</v>
      </c>
      <c r="G657" s="30">
        <v>0.48797</v>
      </c>
      <c r="H657" s="30">
        <v>0.48797</v>
      </c>
      <c r="I657" s="30">
        <v>0.48797</v>
      </c>
      <c r="J657" s="30">
        <v>0.48797</v>
      </c>
      <c r="K657" s="30">
        <v>0.48797</v>
      </c>
      <c r="L657" s="30">
        <v>0.48797</v>
      </c>
      <c r="M657" s="30">
        <v>0.48797</v>
      </c>
      <c r="N657" s="30">
        <v>0.48797</v>
      </c>
      <c r="O657" s="30">
        <v>0.48797</v>
      </c>
      <c r="P657" s="30">
        <f>IF(SUM(D657:O657)=0,"0",AVERAGEIF(D657:O657,"&lt;&gt;0",D657:O657))</f>
      </c>
      <c r="Q657" s="29"/>
    </row>
    <row customHeight="true" ht="19" r="658">
      <c r="A658" s="15">
        <v>626</v>
      </c>
      <c r="B658" s="30" t="str">
        <v>海南</v>
      </c>
      <c r="C658" s="27" t="str">
        <v>（2）历史偏差电费折价</v>
      </c>
      <c r="D658" s="30">
        <v>-0.002737</v>
      </c>
      <c r="E658" s="30">
        <v>0.001764</v>
      </c>
      <c r="F658" s="30">
        <v>-0.012275</v>
      </c>
      <c r="G658" s="30">
        <v>-0.001748</v>
      </c>
      <c r="H658" s="30">
        <v>-0.000202</v>
      </c>
      <c r="I658" s="30">
        <v>0.002915</v>
      </c>
      <c r="J658" s="30">
        <v>0.01969</v>
      </c>
      <c r="K658" s="30">
        <v>0.009828</v>
      </c>
      <c r="L658" s="30">
        <v>0.078226</v>
      </c>
      <c r="M658" s="30">
        <v>0.060796</v>
      </c>
      <c r="N658" s="30">
        <v>0.079648</v>
      </c>
      <c r="O658" s="30">
        <v>0.118669</v>
      </c>
      <c r="P658" s="30">
        <f>IF(SUM(D658:O658)=0,"0",AVERAGEIF(D658:O658,"&lt;&gt;0",D658:O658))</f>
      </c>
      <c r="Q658" s="29"/>
    </row>
    <row customHeight="true" ht="19" r="659">
      <c r="A659" s="15">
        <v>627</v>
      </c>
      <c r="B659" s="30" t="str">
        <v>海南</v>
      </c>
      <c r="C659" s="27" t="str">
        <v>上网环节线损费用折价</v>
      </c>
      <c r="D659" s="30">
        <v>0.029241</v>
      </c>
      <c r="E659" s="30">
        <v>0.028236</v>
      </c>
      <c r="F659" s="30">
        <v>0.028236</v>
      </c>
      <c r="G659" s="30">
        <v>0.028236</v>
      </c>
      <c r="H659" s="30">
        <v>0.028236</v>
      </c>
      <c r="I659" s="30">
        <v>0.028236</v>
      </c>
      <c r="J659" s="30">
        <v>0.028236</v>
      </c>
      <c r="K659" s="30">
        <v>0.028236</v>
      </c>
      <c r="L659" s="30">
        <v>0.028236</v>
      </c>
      <c r="M659" s="30">
        <v>0.028236</v>
      </c>
      <c r="N659" s="30">
        <v>0.028236</v>
      </c>
      <c r="O659" s="30">
        <v>0.028236</v>
      </c>
      <c r="P659" s="30">
        <f>IF(SUM(D659:O659)=0,"0",AVERAGEIF(D659:O659,"&lt;&gt;0",D659:O659))</f>
      </c>
      <c r="Q659" s="29"/>
    </row>
    <row customHeight="true" ht="19" r="660">
      <c r="A660" s="15">
        <v>628</v>
      </c>
      <c r="B660" s="30" t="str">
        <v>海南</v>
      </c>
      <c r="C660" s="27" t="str">
        <v>系统运行费用折合度电水平</v>
      </c>
      <c r="D660" s="60">
        <v>0.04457</v>
      </c>
      <c r="E660" s="60">
        <v>0.054908</v>
      </c>
      <c r="F660" s="60">
        <v>0.071766</v>
      </c>
      <c r="G660" s="60">
        <v>0.069166</v>
      </c>
      <c r="H660" s="60">
        <v>0.067054</v>
      </c>
      <c r="I660" s="60">
        <v>0.064095</v>
      </c>
      <c r="J660" s="60">
        <v>0.047395</v>
      </c>
      <c r="K660" s="60">
        <v>0.057151</v>
      </c>
      <c r="L660" s="60">
        <v>-0.011136</v>
      </c>
      <c r="M660" s="60">
        <v>-0.001896</v>
      </c>
      <c r="N660" s="60">
        <v>-0.012661</v>
      </c>
      <c r="O660" s="60">
        <v>-0.046682</v>
      </c>
      <c r="P660" s="30">
        <f>IF(SUM(D660:O660)=0,"0",AVERAGEIF(D660:O660,"&lt;&gt;0",D660:O660))</f>
      </c>
      <c r="Q660" s="29"/>
    </row>
    <row r="661">
      <c r="A661" s="15">
        <v>629</v>
      </c>
      <c r="B661" s="30" t="str">
        <v>海南</v>
      </c>
      <c r="C661" s="27" t="str">
        <v>（1）辅助服务费用折合度电水平</v>
      </c>
      <c r="D661" s="30">
        <v>0</v>
      </c>
      <c r="E661" s="30">
        <v>0</v>
      </c>
      <c r="F661" s="30">
        <v>0</v>
      </c>
      <c r="G661" s="30">
        <v>0</v>
      </c>
      <c r="H661" s="30">
        <v>0</v>
      </c>
      <c r="I661" s="30">
        <v>0</v>
      </c>
      <c r="J661" s="30">
        <v>0</v>
      </c>
      <c r="K661" s="30">
        <v>0</v>
      </c>
      <c r="L661" s="30">
        <v>0</v>
      </c>
      <c r="M661" s="30">
        <v>0</v>
      </c>
      <c r="N661" s="30">
        <v>0</v>
      </c>
      <c r="O661" s="30">
        <v>0</v>
      </c>
      <c r="P661" s="30">
        <f>IF(SUM(D661:O661)=0,"0",AVERAGEIF(D661:O661,"&lt;&gt;0",D661:O661))</f>
      </c>
      <c r="Q661" s="29"/>
    </row>
    <row r="662">
      <c r="A662" s="15">
        <v>630</v>
      </c>
      <c r="B662" s="30" t="str">
        <v>海南</v>
      </c>
      <c r="C662" s="27" t="str">
        <v>（2）抽水蓄能容量电费折合度电水平</v>
      </c>
      <c r="D662" s="30">
        <v>0</v>
      </c>
      <c r="E662" s="30">
        <v>0</v>
      </c>
      <c r="F662" s="30">
        <v>0</v>
      </c>
      <c r="G662" s="30">
        <v>0</v>
      </c>
      <c r="H662" s="30">
        <v>0</v>
      </c>
      <c r="I662" s="30">
        <v>0</v>
      </c>
      <c r="J662" s="30">
        <v>0</v>
      </c>
      <c r="K662" s="30">
        <v>0</v>
      </c>
      <c r="L662" s="30">
        <v>0</v>
      </c>
      <c r="M662" s="30">
        <v>0</v>
      </c>
      <c r="N662" s="30">
        <v>0</v>
      </c>
      <c r="O662" s="30">
        <v>0</v>
      </c>
      <c r="P662" s="30">
        <f>IF(SUM(D662:O662)=0,"0",AVERAGEIF(D662:O662,"&lt;&gt;0",D662:O662))</f>
      </c>
      <c r="Q662" s="29"/>
    </row>
    <row r="663">
      <c r="A663" s="15">
        <v>631</v>
      </c>
      <c r="B663" s="30" t="str">
        <v>海南</v>
      </c>
      <c r="C663" s="27" t="str">
        <v>（3）上网环节线损代理采购损益折合度电水平</v>
      </c>
      <c r="D663" s="30">
        <v>0</v>
      </c>
      <c r="E663" s="30">
        <v>0</v>
      </c>
      <c r="F663" s="30">
        <v>0</v>
      </c>
      <c r="G663" s="30">
        <v>0</v>
      </c>
      <c r="H663" s="30">
        <v>0</v>
      </c>
      <c r="I663" s="30">
        <v>0</v>
      </c>
      <c r="J663" s="30">
        <v>0</v>
      </c>
      <c r="K663" s="30">
        <v>0</v>
      </c>
      <c r="L663" s="30">
        <v>0</v>
      </c>
      <c r="M663" s="30">
        <v>0</v>
      </c>
      <c r="N663" s="30">
        <v>0</v>
      </c>
      <c r="O663" s="30">
        <v>0</v>
      </c>
      <c r="P663" s="30">
        <f>IF(SUM(D663:O663)=0,"0",AVERAGEIF(D663:O663,"&lt;&gt;0",D663:O663))</f>
      </c>
      <c r="Q663" s="29"/>
    </row>
    <row r="664">
      <c r="A664" s="15">
        <v>632</v>
      </c>
      <c r="B664" s="30" t="str">
        <v>海南</v>
      </c>
      <c r="C664" s="27" t="str">
        <v>（4）电价交叉补贴新增损益折合度电水平</v>
      </c>
      <c r="D664" s="30">
        <v>0</v>
      </c>
      <c r="E664" s="30">
        <v>0</v>
      </c>
      <c r="F664" s="30">
        <v>0</v>
      </c>
      <c r="G664" s="30">
        <v>0</v>
      </c>
      <c r="H664" s="30">
        <v>0</v>
      </c>
      <c r="I664" s="30">
        <v>0</v>
      </c>
      <c r="J664" s="30">
        <v>0</v>
      </c>
      <c r="K664" s="30">
        <v>0</v>
      </c>
      <c r="L664" s="30">
        <v>0</v>
      </c>
      <c r="M664" s="30">
        <v>0</v>
      </c>
      <c r="N664" s="30">
        <v>0</v>
      </c>
      <c r="O664" s="30">
        <v>0</v>
      </c>
      <c r="P664" s="30">
        <f>IF(SUM(D664:O664)=0,"0",AVERAGEIF(D664:O664,"&lt;&gt;0",D664:O664))</f>
      </c>
      <c r="Q664" s="29"/>
    </row>
    <row r="665">
      <c r="A665" s="15">
        <v>633</v>
      </c>
      <c r="B665" s="30" t="str">
        <v>海南</v>
      </c>
      <c r="C665" s="27" t="str">
        <v>（5）煤电容量电费折合度电水平</v>
      </c>
      <c r="D665" s="30">
        <v>0</v>
      </c>
      <c r="E665" s="30">
        <v>0</v>
      </c>
      <c r="F665" s="30">
        <v>0</v>
      </c>
      <c r="G665" s="30">
        <v>0</v>
      </c>
      <c r="H665" s="30">
        <v>0</v>
      </c>
      <c r="I665" s="30">
        <v>0</v>
      </c>
      <c r="J665" s="30">
        <v>0</v>
      </c>
      <c r="K665" s="30">
        <v>0</v>
      </c>
      <c r="L665" s="30">
        <v>0</v>
      </c>
      <c r="M665" s="30">
        <v>0</v>
      </c>
      <c r="N665" s="30">
        <v>0</v>
      </c>
      <c r="O665" s="30">
        <v>0</v>
      </c>
      <c r="P665" s="30">
        <f>IF(SUM(D665:O665)=0,"0",AVERAGEIF(D665:O665,"&lt;&gt;0",D665:O665))</f>
      </c>
      <c r="Q665" s="29"/>
    </row>
    <row r="666">
      <c r="A666" s="15">
        <v>634</v>
      </c>
      <c r="B666" s="30" t="str">
        <v>海南</v>
      </c>
      <c r="C666" s="27" t="str">
        <v>（6）天然气发电容量电费折合度电水平</v>
      </c>
      <c r="D666" s="30">
        <v>0</v>
      </c>
      <c r="E666" s="30">
        <v>0</v>
      </c>
      <c r="F666" s="30">
        <v>0</v>
      </c>
      <c r="G666" s="30">
        <v>0</v>
      </c>
      <c r="H666" s="30">
        <v>0</v>
      </c>
      <c r="I666" s="30">
        <v>0</v>
      </c>
      <c r="J666" s="30">
        <v>0</v>
      </c>
      <c r="K666" s="30">
        <v>0</v>
      </c>
      <c r="L666" s="30">
        <v>0</v>
      </c>
      <c r="M666" s="30">
        <v>0</v>
      </c>
      <c r="N666" s="30">
        <v>0</v>
      </c>
      <c r="O666" s="30">
        <v>0</v>
      </c>
      <c r="P666" s="30">
        <f>IF(SUM(D666:O666)=0,"0",AVERAGEIF(D666:O666,"&lt;&gt;0",D666:O666))</f>
      </c>
      <c r="Q666" s="29"/>
    </row>
    <row customHeight="true" ht="19" r="667">
      <c r="A667" s="15">
        <v>635</v>
      </c>
      <c r="B667" s="30" t="str">
        <v>海南</v>
      </c>
      <c r="C667" s="27" t="str">
        <v>（7）水电合约价差损益折合度电水平</v>
      </c>
      <c r="D667" s="30">
        <v>0</v>
      </c>
      <c r="E667" s="30">
        <v>0</v>
      </c>
      <c r="F667" s="30">
        <v>0</v>
      </c>
      <c r="G667" s="30">
        <v>0</v>
      </c>
      <c r="H667" s="30">
        <v>0</v>
      </c>
      <c r="I667" s="30">
        <v>0</v>
      </c>
      <c r="J667" s="30">
        <v>0</v>
      </c>
      <c r="K667" s="30">
        <v>0</v>
      </c>
      <c r="L667" s="30">
        <v>0</v>
      </c>
      <c r="M667" s="30">
        <v>0</v>
      </c>
      <c r="N667" s="30">
        <v>0</v>
      </c>
      <c r="O667" s="30">
        <v>0</v>
      </c>
      <c r="P667" s="30">
        <f>IF(SUM(D667:O667)=0,"0",AVERAGEIF(D667:O667,"&lt;&gt;0",D667:O667))</f>
      </c>
      <c r="Q667" s="29"/>
    </row>
    <row r="668">
      <c r="A668" s="15">
        <v>636</v>
      </c>
      <c r="B668" s="30" t="str">
        <v>海南</v>
      </c>
      <c r="C668" s="27" t="str">
        <v>（8）独立储能容量电费折合度电水平</v>
      </c>
      <c r="D668" s="30">
        <v>0</v>
      </c>
      <c r="E668" s="30">
        <v>0</v>
      </c>
      <c r="F668" s="30">
        <v>0</v>
      </c>
      <c r="G668" s="30">
        <v>0</v>
      </c>
      <c r="H668" s="30">
        <v>0</v>
      </c>
      <c r="I668" s="30">
        <v>0</v>
      </c>
      <c r="J668" s="30">
        <v>0</v>
      </c>
      <c r="K668" s="30">
        <v>0</v>
      </c>
      <c r="L668" s="30">
        <v>0</v>
      </c>
      <c r="M668" s="30">
        <v>0</v>
      </c>
      <c r="N668" s="30">
        <v>0</v>
      </c>
      <c r="O668" s="30">
        <v>0</v>
      </c>
      <c r="P668" s="30">
        <f>IF(SUM(D668:O668)=0,"0",AVERAGEIF(D668:O668,"&lt;&gt;0",D668:O668))</f>
      </c>
      <c r="Q668" s="29"/>
    </row>
    <row r="669">
      <c r="A669" s="15">
        <v>637</v>
      </c>
      <c r="B669" s="30" t="str">
        <v>海南</v>
      </c>
      <c r="C669" s="27" t="str">
        <v>（9）工商业峰谷分时损益折合度电水平</v>
      </c>
      <c r="D669" s="30">
        <v>0</v>
      </c>
      <c r="E669" s="30">
        <v>0</v>
      </c>
      <c r="F669" s="30">
        <v>0</v>
      </c>
      <c r="G669" s="30">
        <v>0</v>
      </c>
      <c r="H669" s="30">
        <v>0</v>
      </c>
      <c r="I669" s="30">
        <v>0</v>
      </c>
      <c r="J669" s="30">
        <v>0</v>
      </c>
      <c r="K669" s="30">
        <v>0</v>
      </c>
      <c r="L669" s="30">
        <v>0</v>
      </c>
      <c r="M669" s="30">
        <v>0</v>
      </c>
      <c r="N669" s="30">
        <v>0</v>
      </c>
      <c r="O669" s="30">
        <v>0</v>
      </c>
      <c r="P669" s="30">
        <f>IF(SUM(D669:O669)=0,"0",AVERAGEIF(D669:O669,"&lt;&gt;0",D669:O669))</f>
      </c>
      <c r="Q669" s="29"/>
    </row>
    <row r="670">
      <c r="A670" s="15">
        <v>638</v>
      </c>
      <c r="B670" s="30" t="str">
        <v>海南</v>
      </c>
      <c r="C670" s="27" t="str">
        <v>（10）功率因数调整电费损益折合度电水平</v>
      </c>
      <c r="D670" s="30">
        <v>0</v>
      </c>
      <c r="E670" s="30">
        <v>0</v>
      </c>
      <c r="F670" s="30">
        <v>0</v>
      </c>
      <c r="G670" s="30">
        <v>0</v>
      </c>
      <c r="H670" s="30">
        <v>0</v>
      </c>
      <c r="I670" s="30">
        <v>0</v>
      </c>
      <c r="J670" s="30">
        <v>0</v>
      </c>
      <c r="K670" s="30">
        <v>0</v>
      </c>
      <c r="L670" s="30">
        <v>0</v>
      </c>
      <c r="M670" s="30">
        <v>0</v>
      </c>
      <c r="N670" s="30">
        <v>0</v>
      </c>
      <c r="O670" s="30">
        <v>0</v>
      </c>
      <c r="P670" s="30">
        <f>IF(SUM(D670:O670)=0,"0",AVERAGEIF(D670:O670,"&lt;&gt;0",D670:O670))</f>
      </c>
      <c r="Q670" s="29"/>
    </row>
    <row r="671">
      <c r="A671" s="15">
        <v>639</v>
      </c>
      <c r="B671" s="30" t="str">
        <v>海南</v>
      </c>
      <c r="C671" s="27" t="str">
        <v>（11）新能源可持续发展价格结算机制差价结算费用折合度电水平</v>
      </c>
      <c r="D671" s="30">
        <v>0</v>
      </c>
      <c r="E671" s="30">
        <v>0</v>
      </c>
      <c r="F671" s="30">
        <v>0</v>
      </c>
      <c r="G671" s="30">
        <v>0</v>
      </c>
      <c r="H671" s="30">
        <v>0</v>
      </c>
      <c r="I671" s="30">
        <v>0</v>
      </c>
      <c r="J671" s="30">
        <v>0</v>
      </c>
      <c r="K671" s="30">
        <v>0</v>
      </c>
      <c r="L671" s="30">
        <v>0</v>
      </c>
      <c r="M671" s="30">
        <v>0</v>
      </c>
      <c r="N671" s="30">
        <v>0</v>
      </c>
      <c r="O671" s="30">
        <v>0</v>
      </c>
      <c r="P671" s="30">
        <f>IF(SUM(D671:O671)=0,"0",AVERAGEIF(D671:O671,"&lt;&gt;0",D671:O671))</f>
      </c>
      <c r="Q671" s="29"/>
    </row>
    <row r="672">
      <c r="A672" s="15">
        <v>640</v>
      </c>
      <c r="B672" s="30" t="str">
        <v>海南</v>
      </c>
      <c r="C672" s="27" t="str">
        <v>（12）趸售电价损益折合度电水平</v>
      </c>
      <c r="D672" s="30">
        <v>0</v>
      </c>
      <c r="E672" s="30">
        <v>0</v>
      </c>
      <c r="F672" s="30">
        <v>0</v>
      </c>
      <c r="G672" s="30">
        <v>0</v>
      </c>
      <c r="H672" s="30">
        <v>0</v>
      </c>
      <c r="I672" s="30">
        <v>0</v>
      </c>
      <c r="J672" s="30">
        <v>0</v>
      </c>
      <c r="K672" s="30">
        <v>0</v>
      </c>
      <c r="L672" s="30">
        <v>0</v>
      </c>
      <c r="M672" s="30">
        <v>0</v>
      </c>
      <c r="N672" s="30">
        <v>0</v>
      </c>
      <c r="O672" s="30">
        <v>0</v>
      </c>
      <c r="P672" s="30">
        <f>IF(SUM(D672:O672)=0,"0",AVERAGEIF(D672:O672,"&lt;&gt;0",D672:O672))</f>
      </c>
      <c r="Q672" s="29"/>
    </row>
    <row customHeight="true" ht="19" r="673">
      <c r="A673" s="15">
        <v>641</v>
      </c>
      <c r="B673" s="30" t="str">
        <v>海南</v>
      </c>
      <c r="C673" s="27" t="str">
        <v>（13）代理购电价格新增损益折合度电水平</v>
      </c>
      <c r="D673" s="30">
        <v>0</v>
      </c>
      <c r="E673" s="30">
        <v>0</v>
      </c>
      <c r="F673" s="30">
        <v>0</v>
      </c>
      <c r="G673" s="30">
        <v>0</v>
      </c>
      <c r="H673" s="30">
        <v>0</v>
      </c>
      <c r="I673" s="30">
        <v>0</v>
      </c>
      <c r="J673" s="30">
        <v>0</v>
      </c>
      <c r="K673" s="30">
        <v>0</v>
      </c>
      <c r="L673" s="30">
        <v>0</v>
      </c>
      <c r="M673" s="30">
        <v>0</v>
      </c>
      <c r="N673" s="30">
        <v>0</v>
      </c>
      <c r="O673" s="30">
        <v>0</v>
      </c>
      <c r="P673" s="30">
        <f>IF(SUM(D673:O673)=0,"0",AVERAGEIF(D673:O673,"&lt;&gt;0",D673:O673))</f>
      </c>
      <c r="Q673" s="29"/>
    </row>
    <row r="674">
      <c r="A674" s="15">
        <v>641</v>
      </c>
      <c r="B674" s="30" t="str">
        <v>海南</v>
      </c>
      <c r="C674" s="27" t="str">
        <v>（14）跨省跨区应急调度价差损益折合度电水平</v>
      </c>
      <c r="D674" s="30">
        <v>0</v>
      </c>
      <c r="E674" s="30">
        <v>0</v>
      </c>
      <c r="F674" s="30">
        <v>0</v>
      </c>
      <c r="G674" s="30">
        <v>0</v>
      </c>
      <c r="H674" s="30">
        <v>0</v>
      </c>
      <c r="I674" s="30">
        <v>0</v>
      </c>
      <c r="J674" s="30">
        <v>0</v>
      </c>
      <c r="K674" s="30">
        <v>0</v>
      </c>
      <c r="L674" s="30">
        <v>0</v>
      </c>
      <c r="M674" s="30">
        <v>0</v>
      </c>
      <c r="N674" s="30">
        <v>0</v>
      </c>
      <c r="O674" s="30">
        <v>0</v>
      </c>
      <c r="P674" s="30">
        <f>IF(SUM(D674:O674)=0,"0",AVERAGEIF(D674:O674,"&lt;&gt;0",D674:O674))</f>
      </c>
      <c r="Q674" s="29"/>
    </row>
    <row r="675">
      <c r="A675" s="15">
        <v>642</v>
      </c>
      <c r="B675" s="30" t="str">
        <v>海南</v>
      </c>
      <c r="C675" s="27" t="str">
        <v>（15）剩余优先发电价差损益度电水平</v>
      </c>
      <c r="D675" s="30">
        <v>0</v>
      </c>
      <c r="E675" s="30">
        <v>0</v>
      </c>
      <c r="F675" s="30">
        <v>0</v>
      </c>
      <c r="G675" s="30">
        <v>0</v>
      </c>
      <c r="H675" s="30">
        <v>0</v>
      </c>
      <c r="I675" s="30">
        <v>0</v>
      </c>
      <c r="J675" s="30">
        <v>0</v>
      </c>
      <c r="K675" s="30">
        <v>0</v>
      </c>
      <c r="L675" s="30">
        <v>0</v>
      </c>
      <c r="M675" s="30">
        <v>0</v>
      </c>
      <c r="N675" s="30">
        <v>0</v>
      </c>
      <c r="O675" s="30">
        <v>0</v>
      </c>
      <c r="P675" s="30">
        <f>IF(SUM(D675:O675)=0,"0",AVERAGEIF(D675:O675,"&lt;&gt;0",D675:O675))</f>
      </c>
      <c r="Q675" s="29"/>
    </row>
    <row r="676">
      <c r="A676" s="15">
        <v>643</v>
      </c>
      <c r="B676" s="30" t="str">
        <v>海南</v>
      </c>
      <c r="C676" s="27" t="str">
        <v>（16）其他费用折合度电水平</v>
      </c>
      <c r="D676" s="30">
        <v>0</v>
      </c>
      <c r="E676" s="30">
        <v>0</v>
      </c>
      <c r="F676" s="30">
        <v>0</v>
      </c>
      <c r="G676" s="30">
        <v>0</v>
      </c>
      <c r="H676" s="30">
        <v>0</v>
      </c>
      <c r="I676" s="30">
        <v>0</v>
      </c>
      <c r="J676" s="30">
        <v>0</v>
      </c>
      <c r="K676" s="30">
        <v>0</v>
      </c>
      <c r="L676" s="30">
        <v>0</v>
      </c>
      <c r="M676" s="30">
        <v>0</v>
      </c>
      <c r="N676" s="30">
        <v>0</v>
      </c>
      <c r="O676" s="30">
        <v>0</v>
      </c>
      <c r="P676" s="30">
        <f>IF(SUM(D676:O676)=0,"0",AVERAGEIF(D676:O676,"&lt;&gt;0",D676:O676))</f>
      </c>
      <c r="Q676" s="29"/>
    </row>
  </sheetData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2" ySplit="1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0"/>
    <col collapsed="false" customWidth="true" hidden="false" max="3" min="3" style="0" width="26"/>
    <col collapsed="false" customWidth="true" hidden="false" max="4" min="4" style="0" width="13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3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3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3"/>
    <col collapsed="false" customWidth="true" hidden="false" max="14" min="14" style="0" width="13"/>
    <col collapsed="false" customWidth="true" hidden="false" max="15" min="15" style="0" width="13"/>
    <col collapsed="false" customWidth="true" hidden="false" max="16" min="16" style="0" width="13"/>
  </cols>
  <sheetData>
    <row customHeight="true" ht="19" r="1">
      <c r="A1" s="12" t="str">
        <v>序号</v>
      </c>
      <c r="B1" s="52" t="str">
        <v>省份</v>
      </c>
      <c r="C1" s="11" t="str">
        <v>2026年入市购电电价表</v>
      </c>
      <c r="D1" s="50" t="str">
        <v>1月</v>
      </c>
      <c r="E1" s="50" t="str">
        <v>2月</v>
      </c>
      <c r="F1" s="50" t="str">
        <v>3月</v>
      </c>
      <c r="G1" s="50" t="str">
        <v>4月</v>
      </c>
      <c r="H1" s="50" t="str">
        <v>5月</v>
      </c>
      <c r="I1" s="50" t="str">
        <v>6月</v>
      </c>
      <c r="J1" s="50" t="str">
        <v>7月</v>
      </c>
      <c r="K1" s="50" t="str">
        <v>8月</v>
      </c>
      <c r="L1" s="50" t="str">
        <v>9月</v>
      </c>
      <c r="M1" s="50" t="str">
        <v>10月</v>
      </c>
      <c r="N1" s="50" t="str">
        <v>11月</v>
      </c>
      <c r="O1" s="50" t="str">
        <v>12月</v>
      </c>
      <c r="P1" s="50" t="str">
        <v>年均</v>
      </c>
      <c r="Q1" s="50" t="str">
        <v>趋势图</v>
      </c>
    </row>
    <row r="2">
      <c r="A2" s="15">
        <v>1</v>
      </c>
      <c r="B2" s="20" t="str">
        <v>北京</v>
      </c>
      <c r="C2" s="58" t="str">
        <v>入市购电价格</v>
      </c>
      <c r="D2" s="15">
        <v>0.415</v>
      </c>
      <c r="E2" s="15">
        <f>D2</f>
      </c>
      <c r="F2" s="15">
        <f>E2</f>
      </c>
      <c r="G2" s="15">
        <f>F2</f>
      </c>
      <c r="H2" s="15">
        <f>G2</f>
      </c>
      <c r="I2" s="15">
        <f>H2</f>
      </c>
      <c r="J2" s="15">
        <f>I2</f>
      </c>
      <c r="K2" s="15">
        <f>J2</f>
      </c>
      <c r="L2" s="15">
        <f>K2</f>
      </c>
      <c r="M2" s="15">
        <f>L2</f>
      </c>
      <c r="N2" s="15">
        <f>M2</f>
      </c>
      <c r="O2" s="15">
        <f>N2</f>
      </c>
      <c r="P2" s="15">
        <f>IF(SUM(D2:O2)=0,"0",AVERAGEIF(D2:O2,"&lt;&gt;0",D2:O2))</f>
      </c>
      <c r="Q2" s="14"/>
    </row>
    <row r="3">
      <c r="A3" s="15">
        <v>2</v>
      </c>
      <c r="B3" s="20" t="str">
        <v>天津</v>
      </c>
      <c r="C3" s="58" t="str">
        <v>入市购电价格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f>IF(SUM(D3:O3)=0,"0",AVERAGEIF(D3:O3,"&lt;&gt;0",D3:O3))</f>
      </c>
      <c r="Q3" s="14"/>
    </row>
    <row r="4">
      <c r="A4" s="15">
        <v>3</v>
      </c>
      <c r="B4" s="20" t="str">
        <v>河北南网</v>
      </c>
      <c r="C4" s="58" t="str">
        <v>入市购电价格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f>IF(SUM(D4:O4)=0,"0",AVERAGEIF(D4:O4,"&lt;&gt;0",D4:O4))</f>
      </c>
      <c r="Q4" s="14"/>
    </row>
    <row r="5">
      <c r="A5" s="15">
        <v>4</v>
      </c>
      <c r="B5" s="20" t="str">
        <v>冀北</v>
      </c>
      <c r="C5" s="58" t="str">
        <v>入市购电价格</v>
      </c>
      <c r="D5" s="15">
        <v>0.412</v>
      </c>
      <c r="E5" s="15">
        <f>D5</f>
      </c>
      <c r="F5" s="15">
        <f>E5</f>
      </c>
      <c r="G5" s="15">
        <f>F5</f>
      </c>
      <c r="H5" s="15">
        <f>G5</f>
      </c>
      <c r="I5" s="15">
        <f>H5</f>
      </c>
      <c r="J5" s="15">
        <f>I5</f>
      </c>
      <c r="K5" s="15">
        <f>J5</f>
      </c>
      <c r="L5" s="15">
        <f>K5</f>
      </c>
      <c r="M5" s="15">
        <f>L5</f>
      </c>
      <c r="N5" s="15">
        <f>M5</f>
      </c>
      <c r="O5" s="15">
        <f>N5</f>
      </c>
      <c r="P5" s="15">
        <f>IF(SUM(D5:O5)=0,"0",AVERAGEIF(D5:O5,"&lt;&gt;0",D5:O5))</f>
      </c>
      <c r="Q5" s="14"/>
    </row>
    <row r="6">
      <c r="A6" s="15">
        <v>5</v>
      </c>
      <c r="B6" s="20" t="str">
        <v>山东</v>
      </c>
      <c r="C6" s="58" t="str">
        <v>入市购电价格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f>IF(SUM(D6:O6)=0,"0",AVERAGEIF(D6:O6,"&lt;&gt;0",D6:O6))</f>
      </c>
      <c r="Q6" s="14"/>
    </row>
    <row r="7">
      <c r="A7" s="15">
        <v>6</v>
      </c>
      <c r="B7" s="20" t="str">
        <v>山西</v>
      </c>
      <c r="C7" s="58" t="str">
        <v>入市购电价格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f>IF(SUM(D7:O7)=0,"0",AVERAGEIF(D7:O7,"&lt;&gt;0",D7:O7))</f>
      </c>
      <c r="Q7" s="14"/>
    </row>
    <row r="8">
      <c r="A8" s="15">
        <v>7</v>
      </c>
      <c r="B8" s="55" t="str">
        <v>蒙西</v>
      </c>
      <c r="C8" s="59" t="str">
        <v>入市购电价格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>
        <f>IF(SUM(D8:O8)=0,"0",AVERAGEIF(D8:O8,"&lt;&gt;0",D8:O8))</f>
      </c>
      <c r="Q8" s="29"/>
    </row>
    <row r="9">
      <c r="A9" s="15">
        <v>8</v>
      </c>
      <c r="B9" s="20" t="str">
        <v>上海</v>
      </c>
      <c r="C9" s="58" t="str">
        <v>入市购电价格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f>IF(SUM(D9:O9)=0,"0",AVERAGEIF(D9:O9,"&lt;&gt;0",D9:O9))</f>
      </c>
      <c r="Q9" s="14"/>
    </row>
    <row r="10">
      <c r="A10" s="15">
        <v>9</v>
      </c>
      <c r="B10" s="20" t="str">
        <v>江苏</v>
      </c>
      <c r="C10" s="58" t="str">
        <v>入市购电价格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f>IF(SUM(D10:O10)=0,"0",AVERAGEIF(D10:O10,"&lt;&gt;0",D10:O10))</f>
      </c>
      <c r="Q10" s="14"/>
    </row>
    <row r="11">
      <c r="A11" s="15">
        <v>10</v>
      </c>
      <c r="B11" s="20" t="str">
        <v>浙江</v>
      </c>
      <c r="C11" s="58" t="str">
        <v>入市购电价格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f>IF(SUM(D11:O11)=0,"0",AVERAGEIF(D11:O11,"&lt;&gt;0",D11:O11))</f>
      </c>
      <c r="Q11" s="14"/>
    </row>
    <row r="12">
      <c r="A12" s="15">
        <v>11</v>
      </c>
      <c r="B12" s="20" t="str">
        <v>安徽</v>
      </c>
      <c r="C12" s="58" t="str">
        <v>入市购电价格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f>IF(SUM(D12:O12)=0,"0",AVERAGEIF(D12:O12,"&lt;&gt;0",D12:O12))</f>
      </c>
      <c r="Q12" s="14"/>
    </row>
    <row r="13">
      <c r="A13" s="15">
        <v>12</v>
      </c>
      <c r="B13" s="20" t="str">
        <v>福建</v>
      </c>
      <c r="C13" s="58" t="str">
        <v>入市购电价格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f>IF(SUM(D13:O13)=0,"0",AVERAGEIF(D13:O13,"&lt;&gt;0",D13:O13))</f>
      </c>
      <c r="Q13" s="14"/>
    </row>
    <row r="14">
      <c r="A14" s="15">
        <v>13</v>
      </c>
      <c r="B14" s="55" t="str">
        <v>湖北</v>
      </c>
      <c r="C14" s="59" t="str">
        <v>入市购电价格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>
        <f>IF(SUM(D14:O14)=0,"0",AVERAGEIF(D14:O14,"&lt;&gt;0",D14:O14))</f>
      </c>
      <c r="Q14" s="29"/>
    </row>
    <row r="15">
      <c r="A15" s="15">
        <v>14</v>
      </c>
      <c r="B15" s="55" t="str">
        <v>河南</v>
      </c>
      <c r="C15" s="59" t="str">
        <v>入市购电价格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>
        <f>IF(SUM(D15:O15)=0,"0",AVERAGEIF(D15:O15,"&lt;&gt;0",D15:O15))</f>
      </c>
      <c r="Q15" s="29"/>
    </row>
    <row r="16">
      <c r="A16" s="15">
        <v>15</v>
      </c>
      <c r="B16" s="55" t="str">
        <v>湖南</v>
      </c>
      <c r="C16" s="59" t="str">
        <v>入市购电价格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>
        <f>IF(SUM(D16:O16)=0,"0",AVERAGEIF(D16:O16,"&lt;&gt;0",D16:O16))</f>
      </c>
      <c r="Q16" s="29"/>
    </row>
    <row r="17">
      <c r="A17" s="15">
        <v>16</v>
      </c>
      <c r="B17" s="55" t="str">
        <v>江西</v>
      </c>
      <c r="C17" s="59" t="str">
        <v>入市购电价格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>
        <f>IF(SUM(D17:O17)=0,"0",AVERAGEIF(D17:O17,"&lt;&gt;0",D17:O17))</f>
      </c>
      <c r="Q17" s="29"/>
    </row>
    <row r="18">
      <c r="A18" s="15">
        <v>17</v>
      </c>
      <c r="B18" s="20" t="str">
        <v>辽宁</v>
      </c>
      <c r="C18" s="58" t="str">
        <v>入市购电价格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f>IF(SUM(D18:O18)=0,"0",AVERAGEIF(D18:O18,"&lt;&gt;0",D18:O18))</f>
      </c>
      <c r="Q18" s="14"/>
    </row>
    <row r="19">
      <c r="A19" s="15">
        <v>18</v>
      </c>
      <c r="B19" s="20" t="str">
        <v>吉林</v>
      </c>
      <c r="C19" s="58" t="str">
        <v>入市购电价格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f>IF(SUM(D19:O19)=0,"0",AVERAGEIF(D19:O19,"&lt;&gt;0",D19:O19))</f>
      </c>
      <c r="Q19" s="14"/>
    </row>
    <row r="20">
      <c r="A20" s="15">
        <v>19</v>
      </c>
      <c r="B20" s="20" t="str">
        <v>黑龙江</v>
      </c>
      <c r="C20" s="58" t="str">
        <v>入市购电价格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f>IF(SUM(D20:O20)=0,"0",AVERAGEIF(D20:O20,"&lt;&gt;0",D20:O20))</f>
      </c>
      <c r="Q20" s="14"/>
    </row>
    <row r="21">
      <c r="A21" s="15">
        <v>20</v>
      </c>
      <c r="B21" s="20" t="str">
        <v>蒙东</v>
      </c>
      <c r="C21" s="58" t="str">
        <v>入市购电价格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f>IF(SUM(D21:O21)=0,"0",AVERAGEIF(D21:O21,"&lt;&gt;0",D21:O21))</f>
      </c>
      <c r="Q21" s="14"/>
    </row>
    <row r="22">
      <c r="A22" s="15">
        <v>21</v>
      </c>
      <c r="B22" s="55" t="str">
        <v>陕西</v>
      </c>
      <c r="C22" s="59" t="str">
        <v>入市购电价格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>
        <f>IF(SUM(D22:O22)=0,"0",AVERAGEIF(D22:O22,"&lt;&gt;0",D22:O22))</f>
      </c>
      <c r="Q22" s="29"/>
    </row>
    <row r="23">
      <c r="A23" s="15">
        <v>22</v>
      </c>
      <c r="B23" s="55" t="str">
        <v>甘肃</v>
      </c>
      <c r="C23" s="59" t="str">
        <v>入市购电价格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>
        <f>IF(SUM(D23:O23)=0,"0",AVERAGEIF(D23:O23,"&lt;&gt;0",D23:O23))</f>
      </c>
      <c r="Q23" s="29"/>
    </row>
    <row r="24">
      <c r="A24" s="15">
        <v>23</v>
      </c>
      <c r="B24" s="55" t="str">
        <v>青海</v>
      </c>
      <c r="C24" s="59" t="str">
        <v>入市购电价格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>
        <f>IF(SUM(D24:O24)=0,"0",AVERAGEIF(D24:O24,"&lt;&gt;0",D24:O24))</f>
      </c>
      <c r="Q24" s="29"/>
    </row>
    <row r="25">
      <c r="A25" s="15">
        <v>24</v>
      </c>
      <c r="B25" s="55" t="str">
        <v>宁夏</v>
      </c>
      <c r="C25" s="59" t="str">
        <v>入市购电价格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>
        <f>IF(SUM(D25:O25)=0,"0",AVERAGEIF(D25:O25,"&lt;&gt;0",D25:O25))</f>
      </c>
      <c r="Q25" s="29"/>
    </row>
    <row r="26">
      <c r="A26" s="15">
        <v>25</v>
      </c>
      <c r="B26" s="55" t="str">
        <v>新疆</v>
      </c>
      <c r="C26" s="59" t="str">
        <v>入市购电价格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>
        <f>IF(SUM(D26:O26)=0,"0",AVERAGEIF(D26:O26,"&lt;&gt;0",D26:O26))</f>
      </c>
      <c r="Q26" s="29"/>
    </row>
    <row r="27">
      <c r="A27" s="15">
        <v>26</v>
      </c>
      <c r="B27" s="20" t="str">
        <v>重庆</v>
      </c>
      <c r="C27" s="58" t="str">
        <v>入市购电价格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f>IF(SUM(D27:O27)=0,"0",AVERAGEIF(D27:O27,"&lt;&gt;0",D27:O27))</f>
      </c>
      <c r="Q27" s="14"/>
    </row>
    <row r="28">
      <c r="A28" s="15">
        <v>27</v>
      </c>
      <c r="B28" s="20" t="str">
        <v>四川</v>
      </c>
      <c r="C28" s="58" t="str">
        <v>入市购电价格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f>IF(SUM(D28:O28)=0,"0",AVERAGEIF(D28:O28,"&lt;&gt;0",D28:O28))</f>
      </c>
      <c r="Q28" s="14"/>
    </row>
    <row r="29">
      <c r="A29" s="15">
        <v>28</v>
      </c>
      <c r="B29" s="55" t="str">
        <v>广东</v>
      </c>
      <c r="C29" s="59" t="str">
        <v>入市购电价格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>
        <f>IF(SUM(D29:O29)=0,"0",AVERAGEIF(D29:O29,"&lt;&gt;0",D29:O29))</f>
      </c>
      <c r="Q29" s="29"/>
    </row>
    <row r="30">
      <c r="A30" s="15">
        <v>29</v>
      </c>
      <c r="B30" s="55" t="str">
        <v>广西</v>
      </c>
      <c r="C30" s="59" t="str">
        <v>入市购电价格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>
        <f>IF(SUM(D30:O30)=0,"0",AVERAGEIF(D30:O30,"&lt;&gt;0",D30:O30))</f>
      </c>
      <c r="Q30" s="29"/>
    </row>
    <row r="31">
      <c r="A31" s="15">
        <v>30</v>
      </c>
      <c r="B31" s="55" t="str">
        <v>云南</v>
      </c>
      <c r="C31" s="59" t="str">
        <v>入市购电价格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>
        <f>IF(SUM(D31:O31)=0,"0",AVERAGEIF(D31:O31,"&lt;&gt;0",D31:O31))</f>
      </c>
      <c r="Q31" s="29"/>
    </row>
    <row r="32">
      <c r="A32" s="15">
        <v>31</v>
      </c>
      <c r="B32" s="55" t="str">
        <v>贵州</v>
      </c>
      <c r="C32" s="59" t="str">
        <v>入市购电价格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>
        <f>IF(SUM(D32:O32)=0,"0",AVERAGEIF(D32:O32,"&lt;&gt;0",D32:O32))</f>
      </c>
      <c r="Q32" s="29"/>
    </row>
    <row r="33">
      <c r="A33" s="15">
        <v>32</v>
      </c>
      <c r="B33" s="55" t="str">
        <v>海南</v>
      </c>
      <c r="C33" s="59" t="str">
        <v>入市购电价格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>
        <f>IF(SUM(D33:O33)=0,"0",AVERAGEIF(D33:O33,"&lt;&gt;0",D33:O33))</f>
      </c>
      <c r="Q33" s="2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